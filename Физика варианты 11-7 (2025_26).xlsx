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2" autoFilterDateGrouping="1"/>
  </bookViews>
  <sheets>
    <sheet xmlns:r="http://schemas.openxmlformats.org/officeDocument/2006/relationships" name="~" sheetId="1" state="hidden" r:id="rId1"/>
    <sheet xmlns:r="http://schemas.openxmlformats.org/officeDocument/2006/relationships" name="Вариант 2 (24.01)" sheetId="2" state="visible" r:id="rId2"/>
    <sheet xmlns:r="http://schemas.openxmlformats.org/officeDocument/2006/relationships" name="Вариант 1 (17.01)" sheetId="3" state="visible" r:id="rId3"/>
    <sheet xmlns:r="http://schemas.openxmlformats.org/officeDocument/2006/relationships" name="Пример листа ребенка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9"/>
      <scheme val="minor"/>
    </font>
    <font>
      <name val="Arial"/>
      <family val="2"/>
      <i val="1"/>
      <color theme="1"/>
      <sz val="10"/>
      <scheme val="minor"/>
    </font>
    <font>
      <name val="&quot;Helvetica Neue&quot;"/>
      <b val="1"/>
      <color rgb="FF767676"/>
      <sz val="9"/>
    </font>
    <font>
      <name val="Arial"/>
      <family val="2"/>
      <color rgb="FF000000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0" borderId="2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2" fillId="0" borderId="0" pivotButton="0" quotePrefix="0" xfId="0"/>
    <xf numFmtId="0" fontId="6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3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right"/>
    </xf>
    <xf numFmtId="0" fontId="7" fillId="0" borderId="5" pivotButton="0" quotePrefix="0" xfId="0"/>
    <xf numFmtId="0" fontId="2" fillId="2" borderId="10" applyAlignment="1" pivotButton="0" quotePrefix="0" xfId="0">
      <alignment horizontal="center" vertical="center"/>
    </xf>
    <xf numFmtId="0" fontId="7" fillId="0" borderId="9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0" fillId="0" borderId="5" pivotButton="0" quotePrefix="0" xfId="0"/>
    <xf numFmtId="0" fontId="0" fillId="0" borderId="9" pivotButton="0" quotePrefix="0" xfId="0"/>
  </cellXfs>
  <cellStyles count="1">
    <cellStyle name="Обычный" xfId="0" builtinId="0"/>
  </cellStyles>
  <dxfs count="18">
    <dxf>
      <fill>
        <patternFill patternType="solid">
          <fgColor rgb="FFEAF093"/>
          <bgColor rgb="FFEAF093"/>
        </patternFill>
      </fill>
    </dxf>
    <dxf>
      <fill>
        <patternFill/>
      </fill>
    </dxf>
    <dxf>
      <font>
        <color rgb="FF000000"/>
      </font>
      <fill>
        <patternFill patternType="solid">
          <fgColor rgb="FFFFE79C"/>
          <bgColor rgb="FFFFE79C"/>
        </patternFill>
      </fill>
    </dxf>
    <dxf>
      <fill>
        <patternFill patternType="solid">
          <fgColor rgb="FFFFA49C"/>
          <bgColor rgb="FFFFA49C"/>
        </patternFill>
      </fill>
    </dxf>
    <dxf>
      <fill>
        <patternFill patternType="solid">
          <fgColor rgb="FFB0E9C2"/>
          <bgColor rgb="FFB0E9C2"/>
        </patternFill>
      </fill>
    </dxf>
    <dxf>
      <fill>
        <patternFill patternType="solid">
          <fgColor rgb="FFFFCD9C"/>
          <bgColor rgb="FFFFCD9C"/>
        </patternFill>
      </fill>
    </dxf>
    <dxf>
      <fill>
        <patternFill patternType="solid">
          <fgColor rgb="FFFFA49C"/>
          <bgColor rgb="FFFFA49C"/>
        </patternFill>
      </fill>
    </dxf>
    <dxf>
      <fill>
        <patternFill/>
      </fill>
    </dxf>
    <dxf>
      <font>
        <color theme="1"/>
      </font>
      <fill>
        <patternFill patternType="solid">
          <fgColor rgb="FFFFE79C"/>
          <bgColor rgb="FFFFE79C"/>
        </patternFill>
      </fill>
    </dxf>
    <dxf>
      <fill>
        <patternFill patternType="solid">
          <fgColor rgb="FFB0E9C2"/>
          <bgColor rgb="FFB0E9C2"/>
        </patternFill>
      </fill>
    </dxf>
    <dxf>
      <fill>
        <patternFill patternType="solid">
          <fgColor rgb="FFEAF093"/>
          <bgColor rgb="FFEAF093"/>
        </patternFill>
      </fill>
    </dxf>
    <dxf>
      <fill>
        <patternFill patternType="solid">
          <fgColor rgb="FFFFCD9C"/>
          <bgColor rgb="FFFFCD9C"/>
        </patternFill>
      </fill>
    </dxf>
    <dxf>
      <fill>
        <patternFill patternType="solid">
          <fgColor rgb="FFFFA49C"/>
          <bgColor rgb="FFFFA49C"/>
        </patternFill>
      </fill>
    </dxf>
    <dxf>
      <fill>
        <patternFill/>
      </fill>
    </dxf>
    <dxf>
      <font>
        <color theme="1"/>
      </font>
      <fill>
        <patternFill patternType="solid">
          <fgColor rgb="FFFFE79C"/>
          <bgColor rgb="FFFFE79C"/>
        </patternFill>
      </fill>
    </dxf>
    <dxf>
      <fill>
        <patternFill patternType="solid">
          <fgColor rgb="FFB0E9C2"/>
          <bgColor rgb="FFB0E9C2"/>
        </patternFill>
      </fill>
    </dxf>
    <dxf>
      <fill>
        <patternFill patternType="solid">
          <fgColor rgb="FFEAF093"/>
          <bgColor rgb="FFEAF093"/>
        </patternFill>
      </fill>
    </dxf>
    <dxf>
      <fill>
        <patternFill patternType="solid">
          <fgColor rgb="FFFFCD9C"/>
          <bgColor rgb="FFFFCD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4:AE20"/>
  <sheetViews>
    <sheetView workbookViewId="0">
      <selection activeCell="A1" sqref="A1"/>
    </sheetView>
  </sheetViews>
  <sheetFormatPr baseColWidth="10" defaultColWidth="12.6640625" defaultRowHeight="15.75" customHeight="1"/>
  <sheetData>
    <row r="4" ht="15.75" customHeight="1" s="30">
      <c r="A4" s="1" t="inlineStr">
        <is>
          <t>Аксененко Александр</t>
        </is>
      </c>
    </row>
    <row r="5" ht="15.75" customHeight="1" s="30">
      <c r="A5" s="1" t="inlineStr">
        <is>
          <t>Андрианова Елизавета</t>
        </is>
      </c>
    </row>
    <row r="6" ht="15.75" customHeight="1" s="30">
      <c r="A6" s="1" t="inlineStr">
        <is>
          <t>Зотов Иван</t>
        </is>
      </c>
    </row>
    <row r="7" ht="15.75" customHeight="1" s="30">
      <c r="A7" s="1" t="inlineStr">
        <is>
          <t>Кудрявцев Михаил</t>
        </is>
      </c>
    </row>
    <row r="8" ht="15.75" customHeight="1" s="30">
      <c r="A8" s="1" t="inlineStr">
        <is>
          <t>Локтев Александр</t>
        </is>
      </c>
    </row>
    <row r="9" ht="15.75" customHeight="1" s="30">
      <c r="A9" s="1" t="inlineStr">
        <is>
          <t>Семенов Михаил</t>
        </is>
      </c>
    </row>
    <row r="10" ht="15.75" customHeight="1" s="30">
      <c r="A10" s="1" t="inlineStr">
        <is>
          <t>Скаун Андрей</t>
        </is>
      </c>
    </row>
    <row r="11" ht="15.75" customHeight="1" s="30">
      <c r="A11" s="1" t="inlineStr">
        <is>
          <t>Филиппова Алиса</t>
        </is>
      </c>
    </row>
    <row r="12" ht="15.75" customHeight="1" s="30">
      <c r="A12" s="1" t="inlineStr">
        <is>
          <t>Щербаков Иван</t>
        </is>
      </c>
    </row>
    <row r="13" ht="15.75" customHeight="1" s="30">
      <c r="A13" s="1" t="inlineStr">
        <is>
          <t>Язынина Анна</t>
        </is>
      </c>
    </row>
    <row r="14" ht="15.75" customHeight="1" s="30">
      <c r="A14" s="1" t="inlineStr">
        <is>
          <t>Белов Всеволод</t>
        </is>
      </c>
    </row>
    <row r="15" ht="15.75" customHeight="1" s="30">
      <c r="A15" s="7" t="inlineStr">
        <is>
          <t>Кернерман Степан</t>
        </is>
      </c>
    </row>
    <row r="16" ht="15.75" customHeight="1" s="30">
      <c r="A16" s="8" t="inlineStr">
        <is>
          <t>min:</t>
        </is>
      </c>
      <c r="B16" s="2">
        <f>B17/3</f>
        <v/>
      </c>
      <c r="C16" s="2" t="n">
        <v>9</v>
      </c>
      <c r="D16" s="2" t="n">
        <v>0</v>
      </c>
    </row>
    <row r="17" ht="15.75" customHeight="1" s="30">
      <c r="A17" s="8" t="inlineStr">
        <is>
          <t>max:</t>
        </is>
      </c>
      <c r="B17" s="2">
        <f>B18</f>
        <v/>
      </c>
      <c r="C17" s="2">
        <f>C18</f>
        <v/>
      </c>
      <c r="D17" s="2">
        <f>D18</f>
        <v/>
      </c>
    </row>
    <row r="18" ht="15.75" customHeight="1" s="30">
      <c r="B18" s="2">
        <f>C18+D18</f>
        <v/>
      </c>
      <c r="C18" s="2">
        <f>SUM(E18:X18)</f>
        <v/>
      </c>
      <c r="D18" s="2">
        <f>SUM(Y18:AJ18)</f>
        <v/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2</v>
      </c>
      <c r="J18" s="2" t="n">
        <v>2</v>
      </c>
      <c r="K18" s="2" t="n">
        <v>1</v>
      </c>
      <c r="L18" s="2" t="n">
        <v>1</v>
      </c>
      <c r="M18" s="2" t="n">
        <v>2</v>
      </c>
      <c r="N18" s="2" t="n">
        <v>2</v>
      </c>
      <c r="O18" s="2" t="n">
        <v>1</v>
      </c>
      <c r="P18" s="2" t="n">
        <v>1</v>
      </c>
      <c r="Q18" s="2" t="n">
        <v>1</v>
      </c>
      <c r="R18" s="2" t="n">
        <v>2</v>
      </c>
      <c r="S18" s="2" t="n">
        <v>2</v>
      </c>
      <c r="T18" s="2" t="n">
        <v>1</v>
      </c>
      <c r="U18" s="2" t="n">
        <v>2</v>
      </c>
      <c r="V18" s="2" t="n">
        <v>2</v>
      </c>
      <c r="W18" s="2" t="n">
        <v>1</v>
      </c>
      <c r="X18" s="2" t="n">
        <v>1</v>
      </c>
      <c r="Y18" s="2" t="n">
        <v>3</v>
      </c>
      <c r="Z18" s="2" t="n">
        <v>2</v>
      </c>
      <c r="AA18" s="2" t="n">
        <v>2</v>
      </c>
      <c r="AB18" s="2" t="n">
        <v>3</v>
      </c>
      <c r="AC18" s="2" t="n">
        <v>3</v>
      </c>
      <c r="AD18" s="2" t="n">
        <v>1</v>
      </c>
      <c r="AE18" s="2" t="n">
        <v>3</v>
      </c>
    </row>
    <row r="20" ht="15.75" customHeight="1" s="30">
      <c r="A20" s="2" t="inlineStr">
        <is>
          <t>Лист пустого варианта (нужен для корректной работы формул; название менять нельзя)</t>
        </is>
      </c>
    </row>
  </sheetData>
  <conditionalFormatting sqref="B16:B17 C16:D16">
    <cfRule type="colorScale" priority="1">
      <colorScale>
        <cfvo type="min"/>
        <cfvo type="percent" val="70"/>
        <cfvo type="max"/>
        <color rgb="FFF84D2F"/>
        <color rgb="FFFBE104"/>
        <color rgb="FF34A853"/>
      </colorScale>
    </cfRule>
  </conditionalFormatting>
  <conditionalFormatting sqref="C16:C17">
    <cfRule type="colorScale" priority="2">
      <colorScale>
        <cfvo type="min"/>
        <cfvo type="percent" val="70"/>
        <cfvo type="max"/>
        <color rgb="FFF84D2F"/>
        <color rgb="FFFBE104"/>
        <color rgb="FF34A853"/>
      </colorScale>
    </cfRule>
  </conditionalFormatting>
  <conditionalFormatting sqref="D16:D17">
    <cfRule type="colorScale" priority="3">
      <colorScale>
        <cfvo type="min"/>
        <cfvo type="percent" val="70"/>
        <cfvo type="max"/>
        <color rgb="FFF84D2F"/>
        <color rgb="FFFBE104"/>
        <color rgb="FF34A85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981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8" sqref="E18:Z19"/>
    </sheetView>
  </sheetViews>
  <sheetFormatPr baseColWidth="10" defaultColWidth="12.6640625" defaultRowHeight="15.75" customHeight="1"/>
  <cols>
    <col width="19.1640625" customWidth="1" style="30" min="1" max="1"/>
    <col width="4.6640625" customWidth="1" style="30" min="2" max="3"/>
    <col width="4.83203125" customWidth="1" style="30" min="4" max="4"/>
    <col width="3.1640625" customWidth="1" style="30" min="5" max="31"/>
    <col width="4" customWidth="1" style="30" min="32" max="32"/>
  </cols>
  <sheetData>
    <row r="1" ht="13" customHeight="1" s="30">
      <c r="A1" s="9">
        <f>CELL("sheet",A1)</f>
        <v/>
      </c>
      <c r="B1" s="2" t="inlineStr">
        <is>
          <t>Σ</t>
        </is>
      </c>
      <c r="C1" s="3" t="inlineStr">
        <is>
          <t>1 ч.</t>
        </is>
      </c>
      <c r="D1" s="2" t="inlineStr">
        <is>
          <t>2 ч.</t>
        </is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  <c r="O1" s="2" t="n">
        <v>11</v>
      </c>
      <c r="P1" s="2" t="n">
        <v>12</v>
      </c>
      <c r="Q1" s="2" t="n">
        <v>13</v>
      </c>
      <c r="R1" s="2" t="n">
        <v>14</v>
      </c>
      <c r="S1" s="2" t="n">
        <v>15</v>
      </c>
      <c r="T1" s="2" t="n">
        <v>16</v>
      </c>
      <c r="U1" s="2" t="n">
        <v>17</v>
      </c>
      <c r="V1" s="2" t="n">
        <v>18</v>
      </c>
      <c r="W1" s="2" t="n">
        <v>19</v>
      </c>
      <c r="X1" s="2" t="n">
        <v>20</v>
      </c>
      <c r="Y1" s="3" t="n">
        <v>21</v>
      </c>
      <c r="Z1" s="2" t="n">
        <v>22</v>
      </c>
      <c r="AA1" s="2" t="n">
        <v>23</v>
      </c>
      <c r="AB1" s="2" t="n">
        <v>24</v>
      </c>
      <c r="AC1" s="2" t="n">
        <v>25</v>
      </c>
      <c r="AD1" s="31" t="n">
        <v>26</v>
      </c>
      <c r="AF1" s="10" t="n"/>
    </row>
    <row r="2" ht="13" customHeight="1" s="30">
      <c r="A2" s="11" t="n"/>
      <c r="C2" s="3" t="n"/>
      <c r="Y2" s="3" t="n"/>
      <c r="AD2" s="2" t="inlineStr">
        <is>
          <t>К2</t>
        </is>
      </c>
      <c r="AE2" s="2" t="inlineStr">
        <is>
          <t>К1</t>
        </is>
      </c>
      <c r="AF2" s="10" t="n"/>
    </row>
    <row r="3" ht="13" customHeight="1" s="30">
      <c r="A3" s="1" t="inlineStr">
        <is>
          <t>Аксененко Александр</t>
        </is>
      </c>
      <c r="B3" s="31">
        <f>IF(COUNTA(E3:AE3)&gt;0,C3+D3,"-")</f>
        <v/>
      </c>
      <c r="C3" s="5">
        <f>IF(COUNTA(E3:AE3)&gt;0,SUM(E3:X3),"-")</f>
        <v/>
      </c>
      <c r="D3" s="31">
        <f>IF(COUNTA(E3:AE3)&gt;0,SUM(Y3:AE3),"-")</f>
        <v/>
      </c>
      <c r="E3" s="31" t="n">
        <v>0</v>
      </c>
      <c r="F3" s="31" t="n">
        <v>1</v>
      </c>
      <c r="G3" s="31" t="n">
        <v>1</v>
      </c>
      <c r="H3" s="31" t="n">
        <v>1</v>
      </c>
      <c r="I3" s="31" t="n">
        <v>2</v>
      </c>
      <c r="J3" s="31" t="n">
        <v>0</v>
      </c>
      <c r="K3" s="31" t="n">
        <v>1</v>
      </c>
      <c r="L3" s="31" t="n">
        <v>1</v>
      </c>
      <c r="M3" s="31" t="n">
        <v>2</v>
      </c>
      <c r="N3" s="31" t="n">
        <v>2</v>
      </c>
      <c r="O3" s="31" t="n">
        <v>0</v>
      </c>
      <c r="P3" s="31" t="n">
        <v>1</v>
      </c>
      <c r="Q3" s="31" t="n">
        <v>1</v>
      </c>
      <c r="R3" s="31" t="n">
        <v>2</v>
      </c>
      <c r="S3" s="31" t="n">
        <v>2</v>
      </c>
      <c r="T3" s="31" t="n">
        <v>1</v>
      </c>
      <c r="U3" s="31" t="n">
        <v>0</v>
      </c>
      <c r="V3" s="31" t="n">
        <v>2</v>
      </c>
      <c r="W3" s="31" t="n">
        <v>1</v>
      </c>
      <c r="X3" s="31" t="n">
        <v>1</v>
      </c>
      <c r="Y3" s="5" t="n">
        <v>0</v>
      </c>
      <c r="Z3" s="31" t="n">
        <v>2</v>
      </c>
      <c r="AA3" s="31" t="n">
        <v>2</v>
      </c>
      <c r="AB3" s="31" t="n">
        <v>3</v>
      </c>
      <c r="AC3" s="31" t="n">
        <v>3</v>
      </c>
      <c r="AD3" s="31" t="n">
        <v>3</v>
      </c>
      <c r="AE3" s="31" t="n">
        <v>1</v>
      </c>
      <c r="AF3" s="12" t="n"/>
    </row>
    <row r="4" ht="13" customHeight="1" s="30">
      <c r="A4" s="1" t="inlineStr">
        <is>
          <t>Андрианова Елизавета</t>
        </is>
      </c>
      <c r="B4" s="31">
        <f>IF(COUNTA(E4:AE4)&gt;0,C4+D4,"-")</f>
        <v/>
      </c>
      <c r="C4" s="5">
        <f>IF(COUNTA(E4:AE4)&gt;0,SUM(E4:X4),"-")</f>
        <v/>
      </c>
      <c r="D4" s="31">
        <f>IF(COUNTA(E4:AE4)&gt;0,SUM(Y4:AE4),"-")</f>
        <v/>
      </c>
      <c r="E4" s="31" t="n">
        <v>1</v>
      </c>
      <c r="F4" s="31" t="n">
        <v>0</v>
      </c>
      <c r="G4" s="31" t="n">
        <v>1</v>
      </c>
      <c r="H4" s="31" t="n">
        <v>1</v>
      </c>
      <c r="I4" s="31" t="n">
        <v>2</v>
      </c>
      <c r="J4" s="31" t="n">
        <v>2</v>
      </c>
      <c r="K4" s="31" t="n">
        <v>0</v>
      </c>
      <c r="L4" s="31" t="n">
        <v>1</v>
      </c>
      <c r="M4" s="31" t="n">
        <v>2</v>
      </c>
      <c r="N4" s="31" t="n">
        <v>2</v>
      </c>
      <c r="O4" s="31" t="n">
        <v>1</v>
      </c>
      <c r="P4" s="31" t="n">
        <v>0</v>
      </c>
      <c r="Q4" s="31" t="n">
        <v>1</v>
      </c>
      <c r="R4" s="31" t="n">
        <v>2</v>
      </c>
      <c r="S4" s="31" t="n">
        <v>2</v>
      </c>
      <c r="T4" s="31" t="n">
        <v>1</v>
      </c>
      <c r="U4" s="31" t="n">
        <v>2</v>
      </c>
      <c r="V4" s="31" t="n">
        <v>0</v>
      </c>
      <c r="W4" s="31" t="n">
        <v>1</v>
      </c>
      <c r="X4" s="31" t="n">
        <v>1</v>
      </c>
      <c r="Y4" s="5" t="n">
        <v>3</v>
      </c>
      <c r="Z4" s="31" t="n">
        <v>0</v>
      </c>
      <c r="AA4" s="31" t="n">
        <v>2</v>
      </c>
      <c r="AB4" s="31" t="n">
        <v>3</v>
      </c>
      <c r="AC4" s="31" t="n">
        <v>3</v>
      </c>
      <c r="AD4" s="31" t="n">
        <v>3</v>
      </c>
      <c r="AE4" s="31" t="n">
        <v>1</v>
      </c>
      <c r="AF4" s="13" t="n"/>
    </row>
    <row r="5" ht="13" customHeight="1" s="30">
      <c r="A5" s="1" t="inlineStr">
        <is>
          <t>Зотов Иван</t>
        </is>
      </c>
      <c r="B5" s="31">
        <f>IF(COUNTA(E5:AE5)&gt;0,C5+D5,"-")</f>
        <v/>
      </c>
      <c r="C5" s="5">
        <f>IF(COUNTA(E5:AE5)&gt;0,SUM(E5:X5),"-")</f>
        <v/>
      </c>
      <c r="D5" s="31">
        <f>IF(COUNTA(E5:AE5)&gt;0,SUM(Y5:AE5),"-")</f>
        <v/>
      </c>
      <c r="E5" s="31" t="n">
        <v>1</v>
      </c>
      <c r="F5" s="31" t="n">
        <v>1</v>
      </c>
      <c r="G5" s="31" t="n">
        <v>0</v>
      </c>
      <c r="H5" s="31" t="n">
        <v>1</v>
      </c>
      <c r="I5" s="31" t="n">
        <v>2</v>
      </c>
      <c r="J5" s="31" t="n">
        <v>2</v>
      </c>
      <c r="K5" s="31" t="n">
        <v>1</v>
      </c>
      <c r="L5" s="31" t="n">
        <v>0</v>
      </c>
      <c r="M5" s="31" t="n">
        <v>2</v>
      </c>
      <c r="N5" s="31" t="n">
        <v>2</v>
      </c>
      <c r="O5" s="31" t="n">
        <v>1</v>
      </c>
      <c r="P5" s="31" t="n">
        <v>1</v>
      </c>
      <c r="Q5" s="31" t="n">
        <v>0</v>
      </c>
      <c r="R5" s="31" t="n">
        <v>2</v>
      </c>
      <c r="S5" s="31" t="n">
        <v>2</v>
      </c>
      <c r="T5" s="31" t="n">
        <v>1</v>
      </c>
      <c r="U5" s="31" t="n">
        <v>2</v>
      </c>
      <c r="V5" s="31" t="n">
        <v>2</v>
      </c>
      <c r="W5" s="31" t="n">
        <v>0</v>
      </c>
      <c r="X5" s="31" t="n">
        <v>1</v>
      </c>
      <c r="Y5" s="5" t="n">
        <v>3</v>
      </c>
      <c r="Z5" s="31" t="n">
        <v>2</v>
      </c>
      <c r="AA5" s="31" t="n">
        <v>0</v>
      </c>
      <c r="AB5" s="31" t="n">
        <v>3</v>
      </c>
      <c r="AC5" s="31" t="n">
        <v>3</v>
      </c>
      <c r="AD5" s="31" t="n">
        <v>3</v>
      </c>
      <c r="AE5" s="31" t="n">
        <v>1</v>
      </c>
      <c r="AF5" s="13" t="n"/>
    </row>
    <row r="6" ht="13" customHeight="1" s="30">
      <c r="A6" s="1" t="inlineStr">
        <is>
          <t>Кудрявцев Михаил</t>
        </is>
      </c>
      <c r="B6" s="31">
        <f>IF(COUNTA(E6:AE6)&gt;0,C6+D6,"-")</f>
        <v/>
      </c>
      <c r="C6" s="5">
        <f>IF(COUNTA(E6:AE6)&gt;0,SUM(E6:X6),"-")</f>
        <v/>
      </c>
      <c r="D6" s="31">
        <f>IF(COUNTA(E6:AE6)&gt;0,SUM(Y6:AE6),"-")</f>
        <v/>
      </c>
      <c r="E6" s="31" t="n">
        <v>1</v>
      </c>
      <c r="F6" s="31" t="n">
        <v>1</v>
      </c>
      <c r="G6" s="31" t="n">
        <v>1</v>
      </c>
      <c r="H6" s="31" t="n">
        <v>0</v>
      </c>
      <c r="I6" s="31" t="n">
        <v>2</v>
      </c>
      <c r="J6" s="31" t="n">
        <v>2</v>
      </c>
      <c r="K6" s="31" t="n">
        <v>1</v>
      </c>
      <c r="L6" s="31" t="n">
        <v>1</v>
      </c>
      <c r="M6" s="31" t="n">
        <v>0</v>
      </c>
      <c r="N6" s="31" t="n">
        <v>2</v>
      </c>
      <c r="O6" s="31" t="n">
        <v>1</v>
      </c>
      <c r="P6" s="31" t="n">
        <v>1</v>
      </c>
      <c r="Q6" s="31" t="n">
        <v>1</v>
      </c>
      <c r="R6" s="31" t="n">
        <v>0</v>
      </c>
      <c r="S6" s="31" t="n">
        <v>2</v>
      </c>
      <c r="T6" s="31" t="n">
        <v>1</v>
      </c>
      <c r="U6" s="31" t="n">
        <v>2</v>
      </c>
      <c r="V6" s="31" t="n">
        <v>2</v>
      </c>
      <c r="W6" s="31" t="n">
        <v>1</v>
      </c>
      <c r="X6" s="31" t="n">
        <v>0</v>
      </c>
      <c r="Y6" s="5" t="n">
        <v>3</v>
      </c>
      <c r="Z6" s="31" t="n">
        <v>2</v>
      </c>
      <c r="AA6" s="31" t="n">
        <v>2</v>
      </c>
      <c r="AB6" s="31" t="n">
        <v>0</v>
      </c>
      <c r="AC6" s="31" t="n">
        <v>3</v>
      </c>
      <c r="AD6" s="31" t="n">
        <v>3</v>
      </c>
      <c r="AE6" s="31" t="n">
        <v>1</v>
      </c>
      <c r="AF6" s="12" t="n"/>
    </row>
    <row r="7" ht="13" customHeight="1" s="30">
      <c r="A7" s="1" t="inlineStr">
        <is>
          <t>Локтев Александр</t>
        </is>
      </c>
      <c r="B7" s="31">
        <f>IF(COUNTA(E7:AE7)&gt;0,C7+D7,"-")</f>
        <v/>
      </c>
      <c r="C7" s="5">
        <f>IF(COUNTA(E7:AE7)&gt;0,SUM(E7:X7),"-")</f>
        <v/>
      </c>
      <c r="D7" s="31">
        <f>IF(COUNTA(E7:AE7)&gt;0,SUM(Y7:AE7),"-")</f>
        <v/>
      </c>
      <c r="E7" s="31" t="n">
        <v>0</v>
      </c>
      <c r="F7" s="31" t="n">
        <v>1</v>
      </c>
      <c r="G7" s="31" t="n">
        <v>1</v>
      </c>
      <c r="H7" s="31" t="n">
        <v>1</v>
      </c>
      <c r="I7" s="31" t="n">
        <v>0</v>
      </c>
      <c r="J7" s="31" t="n">
        <v>2</v>
      </c>
      <c r="K7" s="31" t="n">
        <v>1</v>
      </c>
      <c r="L7" s="31" t="n">
        <v>1</v>
      </c>
      <c r="M7" s="31" t="n">
        <v>2</v>
      </c>
      <c r="N7" s="31" t="n">
        <v>0</v>
      </c>
      <c r="O7" s="31" t="n">
        <v>1</v>
      </c>
      <c r="P7" s="31" t="n">
        <v>1</v>
      </c>
      <c r="Q7" s="31" t="n">
        <v>1</v>
      </c>
      <c r="R7" s="31" t="n">
        <v>2</v>
      </c>
      <c r="S7" s="31" t="n">
        <v>0</v>
      </c>
      <c r="T7" s="31" t="n">
        <v>1</v>
      </c>
      <c r="U7" s="31" t="n">
        <v>2</v>
      </c>
      <c r="V7" s="31" t="n">
        <v>2</v>
      </c>
      <c r="W7" s="31" t="n">
        <v>1</v>
      </c>
      <c r="X7" s="31" t="n">
        <v>1</v>
      </c>
      <c r="Y7" s="5" t="n">
        <v>3</v>
      </c>
      <c r="Z7" s="31" t="n">
        <v>2</v>
      </c>
      <c r="AA7" s="31" t="n">
        <v>2</v>
      </c>
      <c r="AB7" s="31" t="n">
        <v>3</v>
      </c>
      <c r="AC7" s="31" t="n">
        <v>0</v>
      </c>
      <c r="AD7" s="31" t="n">
        <v>3</v>
      </c>
      <c r="AE7" s="31" t="n">
        <v>1</v>
      </c>
      <c r="AF7" s="12" t="inlineStr">
        <is>
          <t>🏠</t>
        </is>
      </c>
    </row>
    <row r="8" ht="13" customHeight="1" s="30">
      <c r="A8" s="1" t="inlineStr">
        <is>
          <t>Семенов Михаил</t>
        </is>
      </c>
      <c r="B8" s="31">
        <f>IF(COUNTA(E8:AE8)&gt;0,C8+D8,"-")</f>
        <v/>
      </c>
      <c r="C8" s="5">
        <f>IF(COUNTA(E8:AE8)&gt;0,SUM(E8:X8),"-")</f>
        <v/>
      </c>
      <c r="D8" s="31">
        <f>IF(COUNTA(E8:AE8)&gt;0,SUM(Y8:AE8),"-")</f>
        <v/>
      </c>
      <c r="E8" s="31" t="n">
        <v>1</v>
      </c>
      <c r="F8" s="31" t="n">
        <v>0</v>
      </c>
      <c r="G8" s="31" t="n">
        <v>1</v>
      </c>
      <c r="H8" s="31" t="n">
        <v>1</v>
      </c>
      <c r="I8" s="31" t="n">
        <v>2</v>
      </c>
      <c r="J8" s="31" t="n">
        <v>0</v>
      </c>
      <c r="K8" s="31" t="n">
        <v>1</v>
      </c>
      <c r="L8" s="31" t="n">
        <v>1</v>
      </c>
      <c r="M8" s="31" t="n">
        <v>2</v>
      </c>
      <c r="N8" s="31" t="n">
        <v>2</v>
      </c>
      <c r="O8" s="31" t="n">
        <v>0</v>
      </c>
      <c r="P8" s="31" t="n">
        <v>1</v>
      </c>
      <c r="Q8" s="31" t="n">
        <v>1</v>
      </c>
      <c r="R8" s="31" t="n">
        <v>2</v>
      </c>
      <c r="S8" s="31" t="n">
        <v>2</v>
      </c>
      <c r="T8" s="31" t="n">
        <v>0</v>
      </c>
      <c r="U8" s="31" t="n">
        <v>2</v>
      </c>
      <c r="V8" s="31" t="n">
        <v>2</v>
      </c>
      <c r="W8" s="31" t="n">
        <v>1</v>
      </c>
      <c r="X8" s="31" t="n">
        <v>1</v>
      </c>
      <c r="Y8" s="5" t="n">
        <v>3</v>
      </c>
      <c r="Z8" s="31" t="n">
        <v>2</v>
      </c>
      <c r="AA8" s="31" t="n">
        <v>2</v>
      </c>
      <c r="AB8" s="31" t="n">
        <v>3</v>
      </c>
      <c r="AC8" s="31" t="n">
        <v>3</v>
      </c>
      <c r="AD8" s="31" t="n">
        <v>0</v>
      </c>
      <c r="AE8" s="31" t="n">
        <v>1</v>
      </c>
      <c r="AF8" s="13" t="n"/>
    </row>
    <row r="9" ht="13" customHeight="1" s="30">
      <c r="A9" s="1" t="inlineStr">
        <is>
          <t>Скаун Андрей</t>
        </is>
      </c>
      <c r="B9" s="31">
        <f>IF(COUNTA(E9:AE9)&gt;0,C9+D9,"-")</f>
        <v/>
      </c>
      <c r="C9" s="5">
        <f>IF(COUNTA(E9:AE9)&gt;0,SUM(E9:X9),"-")</f>
        <v/>
      </c>
      <c r="D9" s="31">
        <f>IF(COUNTA(E9:AE9)&gt;0,SUM(Y9:AE9),"-")</f>
        <v/>
      </c>
      <c r="E9" s="31" t="n">
        <v>1</v>
      </c>
      <c r="F9" s="31" t="n">
        <v>1</v>
      </c>
      <c r="G9" s="31" t="n">
        <v>0</v>
      </c>
      <c r="H9" s="31" t="n">
        <v>1</v>
      </c>
      <c r="I9" s="31" t="n">
        <v>2</v>
      </c>
      <c r="J9" s="31" t="n">
        <v>2</v>
      </c>
      <c r="K9" s="31" t="n">
        <v>0</v>
      </c>
      <c r="L9" s="31" t="n">
        <v>1</v>
      </c>
      <c r="M9" s="31" t="n">
        <v>2</v>
      </c>
      <c r="N9" s="31" t="n">
        <v>2</v>
      </c>
      <c r="O9" s="31" t="n">
        <v>1</v>
      </c>
      <c r="P9" s="31" t="n">
        <v>0</v>
      </c>
      <c r="Q9" s="31" t="n">
        <v>1</v>
      </c>
      <c r="R9" s="31" t="n">
        <v>2</v>
      </c>
      <c r="S9" s="31" t="n">
        <v>2</v>
      </c>
      <c r="T9" s="31" t="n">
        <v>1</v>
      </c>
      <c r="U9" s="31" t="n">
        <v>0</v>
      </c>
      <c r="V9" s="31" t="n">
        <v>2</v>
      </c>
      <c r="W9" s="31" t="n">
        <v>1</v>
      </c>
      <c r="X9" s="31" t="n">
        <v>1</v>
      </c>
      <c r="Y9" s="5" t="n">
        <v>3</v>
      </c>
      <c r="Z9" s="31" t="n">
        <v>2</v>
      </c>
      <c r="AA9" s="31" t="n">
        <v>2</v>
      </c>
      <c r="AB9" s="31" t="n">
        <v>3</v>
      </c>
      <c r="AC9" s="31" t="n">
        <v>3</v>
      </c>
      <c r="AD9" s="31" t="n">
        <v>3</v>
      </c>
      <c r="AE9" s="31" t="n">
        <v>0</v>
      </c>
      <c r="AF9" s="12" t="inlineStr">
        <is>
          <t>🏠</t>
        </is>
      </c>
    </row>
    <row r="10" ht="13" customHeight="1" s="30">
      <c r="A10" s="1" t="inlineStr">
        <is>
          <t>Филиппова Алиса</t>
        </is>
      </c>
      <c r="B10" s="31">
        <f>IF(COUNTA(E10:AE10)&gt;0,C10+D10,"-")</f>
        <v/>
      </c>
      <c r="C10" s="5">
        <f>IF(COUNTA(E10:AE10)&gt;0,SUM(E10:X10),"-")</f>
        <v/>
      </c>
      <c r="D10" s="31">
        <f>IF(COUNTA(E10:AE10)&gt;0,SUM(Y10:AE10),"-")</f>
        <v/>
      </c>
      <c r="E10" s="31" t="n">
        <v>1</v>
      </c>
      <c r="F10" s="31" t="n">
        <v>1</v>
      </c>
      <c r="G10" s="31" t="n">
        <v>1</v>
      </c>
      <c r="H10" s="31" t="n">
        <v>0</v>
      </c>
      <c r="I10" s="31" t="n">
        <v>2</v>
      </c>
      <c r="J10" s="31" t="n">
        <v>2</v>
      </c>
      <c r="K10" s="31" t="n">
        <v>1</v>
      </c>
      <c r="L10" s="31" t="n">
        <v>0</v>
      </c>
      <c r="M10" s="31" t="n">
        <v>2</v>
      </c>
      <c r="N10" s="31" t="n">
        <v>2</v>
      </c>
      <c r="O10" s="31" t="n">
        <v>1</v>
      </c>
      <c r="P10" s="31" t="n">
        <v>1</v>
      </c>
      <c r="Q10" s="31" t="n">
        <v>0</v>
      </c>
      <c r="R10" s="31" t="n">
        <v>2</v>
      </c>
      <c r="S10" s="31" t="n">
        <v>2</v>
      </c>
      <c r="T10" s="31" t="n">
        <v>1</v>
      </c>
      <c r="U10" s="31" t="n">
        <v>2</v>
      </c>
      <c r="V10" s="31" t="n">
        <v>0</v>
      </c>
      <c r="W10" s="31" t="n">
        <v>1</v>
      </c>
      <c r="X10" s="31" t="n">
        <v>1</v>
      </c>
      <c r="Y10" s="5" t="n">
        <v>0</v>
      </c>
      <c r="Z10" s="31" t="n">
        <v>2</v>
      </c>
      <c r="AA10" s="31" t="n">
        <v>2</v>
      </c>
      <c r="AB10" s="31" t="n">
        <v>3</v>
      </c>
      <c r="AC10" s="31" t="n">
        <v>3</v>
      </c>
      <c r="AD10" s="31" t="n">
        <v>3</v>
      </c>
      <c r="AE10" s="31" t="n">
        <v>1</v>
      </c>
      <c r="AF10" s="13" t="n"/>
    </row>
    <row r="11" ht="13" customHeight="1" s="30">
      <c r="A11" s="1" t="inlineStr">
        <is>
          <t>Щербаков Иван</t>
        </is>
      </c>
      <c r="B11" s="31">
        <f>IF(COUNTA(E11:AE11)&gt;0,C11+D11,"-")</f>
        <v/>
      </c>
      <c r="C11" s="5">
        <f>IF(COUNTA(E11:AE11)&gt;0,SUM(E11:X11),"-")</f>
        <v/>
      </c>
      <c r="D11" s="31">
        <f>IF(COUNTA(E11:AE11)&gt;0,SUM(Y11:AE11),"-")</f>
        <v/>
      </c>
      <c r="E11" s="31" t="n">
        <v>1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  <c r="X11" s="31" t="n">
        <v>0</v>
      </c>
      <c r="Y11" s="5" t="n">
        <v>3</v>
      </c>
      <c r="Z11" s="31" t="n">
        <v>0</v>
      </c>
      <c r="AA11" s="31" t="n">
        <v>2</v>
      </c>
      <c r="AB11" s="31" t="n">
        <v>3</v>
      </c>
      <c r="AC11" s="31" t="n">
        <v>3</v>
      </c>
      <c r="AD11" s="31" t="n">
        <v>3</v>
      </c>
      <c r="AE11" s="31" t="n">
        <v>1</v>
      </c>
      <c r="AF11" s="12" t="inlineStr">
        <is>
          <t>🏠</t>
        </is>
      </c>
    </row>
    <row r="12" ht="13" customHeight="1" s="30">
      <c r="A12" s="7" t="inlineStr">
        <is>
          <t>Язынина Анна</t>
        </is>
      </c>
      <c r="B12" s="14">
        <f>IF(COUNTA(E12:AE12)&gt;0,C12+D12,"-")</f>
        <v/>
      </c>
      <c r="C12" s="15">
        <f>IF(COUNTA(E12:AE12)&gt;0,SUM(E12:X12),"-")</f>
        <v/>
      </c>
      <c r="D12" s="14">
        <f>IF(COUNTA(E12:AE12)&gt;0,SUM(Y12:AE12),"-")</f>
        <v/>
      </c>
      <c r="E12" s="14" t="n">
        <v>1</v>
      </c>
      <c r="F12" s="14" t="n">
        <v>1</v>
      </c>
      <c r="G12" s="14" t="n">
        <v>1</v>
      </c>
      <c r="H12" s="14" t="n">
        <v>1</v>
      </c>
      <c r="I12" s="14" t="n">
        <v>2</v>
      </c>
      <c r="J12" s="14" t="n">
        <v>0</v>
      </c>
      <c r="K12" s="14" t="n">
        <v>1</v>
      </c>
      <c r="L12" s="14" t="n">
        <v>1</v>
      </c>
      <c r="M12" s="14" t="n">
        <v>2</v>
      </c>
      <c r="N12" s="14" t="n">
        <v>0</v>
      </c>
      <c r="O12" s="14" t="n">
        <v>1</v>
      </c>
      <c r="P12" s="14" t="n">
        <v>1</v>
      </c>
      <c r="Q12" s="14" t="n">
        <v>1</v>
      </c>
      <c r="R12" s="14" t="n">
        <v>2</v>
      </c>
      <c r="S12" s="14" t="n">
        <v>0</v>
      </c>
      <c r="T12" s="14" t="n">
        <v>1</v>
      </c>
      <c r="U12" s="14" t="n">
        <v>2</v>
      </c>
      <c r="V12" s="14" t="n">
        <v>2</v>
      </c>
      <c r="W12" s="14" t="n">
        <v>1</v>
      </c>
      <c r="X12" s="14" t="n">
        <v>0</v>
      </c>
      <c r="Y12" s="15" t="n">
        <v>3</v>
      </c>
      <c r="Z12" s="14" t="n">
        <v>2</v>
      </c>
      <c r="AA12" s="14" t="n">
        <v>0</v>
      </c>
      <c r="AB12" s="14" t="n">
        <v>3</v>
      </c>
      <c r="AC12" s="14" t="n">
        <v>3</v>
      </c>
      <c r="AD12" s="14" t="n">
        <v>3</v>
      </c>
      <c r="AE12" s="14" t="n">
        <v>1</v>
      </c>
      <c r="AF12" s="18" t="n"/>
    </row>
    <row r="13" hidden="1" ht="13" customHeight="1" s="30">
      <c r="A13" s="8" t="inlineStr">
        <is>
          <t>min:</t>
        </is>
      </c>
      <c r="B13" s="31" t="n">
        <v>0</v>
      </c>
      <c r="C13" s="36" t="n">
        <v>0</v>
      </c>
      <c r="D13" s="36">
        <f>'~'!D16</f>
        <v/>
      </c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16" t="inlineStr">
        <is>
          <t>min:</t>
        </is>
      </c>
    </row>
    <row r="14" hidden="1" ht="13" customHeight="1" s="30">
      <c r="A14" s="8" t="inlineStr">
        <is>
          <t>max:</t>
        </is>
      </c>
      <c r="B14" s="31">
        <f>B15</f>
        <v/>
      </c>
      <c r="C14" s="31">
        <f>C15</f>
        <v/>
      </c>
      <c r="D14" s="31">
        <f>D15</f>
        <v/>
      </c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16" t="inlineStr">
        <is>
          <t>max:</t>
        </is>
      </c>
    </row>
    <row r="15" ht="13" customHeight="1" s="30">
      <c r="B15" s="31">
        <f>C15+D15</f>
        <v/>
      </c>
      <c r="C15" s="31">
        <f>SUM(E15:X15)</f>
        <v/>
      </c>
      <c r="D15" s="31">
        <f>SUM(Y15:AE15)</f>
        <v/>
      </c>
      <c r="E15" s="31" t="n">
        <v>1</v>
      </c>
      <c r="F15" s="31" t="n">
        <v>1</v>
      </c>
      <c r="G15" s="31" t="n">
        <v>1</v>
      </c>
      <c r="H15" s="31" t="n">
        <v>1</v>
      </c>
      <c r="I15" s="31" t="n">
        <v>2</v>
      </c>
      <c r="J15" s="31" t="n">
        <v>2</v>
      </c>
      <c r="K15" s="31" t="n">
        <v>1</v>
      </c>
      <c r="L15" s="31" t="n">
        <v>1</v>
      </c>
      <c r="M15" s="31" t="n">
        <v>2</v>
      </c>
      <c r="N15" s="31" t="n">
        <v>2</v>
      </c>
      <c r="O15" s="31" t="n">
        <v>1</v>
      </c>
      <c r="P15" s="31" t="n">
        <v>1</v>
      </c>
      <c r="Q15" s="31" t="n">
        <v>1</v>
      </c>
      <c r="R15" s="31" t="n">
        <v>2</v>
      </c>
      <c r="S15" s="31" t="n">
        <v>2</v>
      </c>
      <c r="T15" s="31" t="n">
        <v>1</v>
      </c>
      <c r="U15" s="31" t="n">
        <v>2</v>
      </c>
      <c r="V15" s="31" t="n">
        <v>2</v>
      </c>
      <c r="W15" s="31" t="n">
        <v>1</v>
      </c>
      <c r="X15" s="31" t="n">
        <v>1</v>
      </c>
      <c r="Y15" s="31" t="n">
        <v>3</v>
      </c>
      <c r="Z15" s="31" t="n">
        <v>2</v>
      </c>
      <c r="AA15" s="31" t="n">
        <v>2</v>
      </c>
      <c r="AB15" s="31" t="n">
        <v>3</v>
      </c>
      <c r="AC15" s="31" t="n">
        <v>3</v>
      </c>
      <c r="AD15" s="31" t="n">
        <v>3</v>
      </c>
      <c r="AE15" s="31" t="n">
        <v>1</v>
      </c>
      <c r="AF15" s="16" t="n"/>
    </row>
    <row r="16" ht="13" customHeight="1" s="30">
      <c r="E16" s="37">
        <f>SUM(E3:E12)/COUNTA(E3:E12)/E15</f>
        <v/>
      </c>
      <c r="F16" s="37">
        <f>SUM(F3:F12)/COUNTA(F3:F12)/F15</f>
        <v/>
      </c>
      <c r="G16" s="37">
        <f>SUM(G3:G12)/COUNTA(G3:G12)/G15</f>
        <v/>
      </c>
      <c r="H16" s="37">
        <f>SUM(H3:H12)/COUNTA(H3:H12)/H15</f>
        <v/>
      </c>
      <c r="I16" s="37">
        <f>SUM(I3:I12)/COUNTA(I3:I12)/I15</f>
        <v/>
      </c>
      <c r="J16" s="37">
        <f>SUM(J3:J12)/COUNTA(J3:J12)/J15</f>
        <v/>
      </c>
      <c r="K16" s="37">
        <f>SUM(K3:K12)/COUNTA(K3:K12)/K15</f>
        <v/>
      </c>
      <c r="L16" s="37">
        <f>SUM(L3:L12)/COUNTA(L3:L12)/L15</f>
        <v/>
      </c>
      <c r="M16" s="37">
        <f>SUM(M3:M12)/COUNTA(M3:M12)/M15</f>
        <v/>
      </c>
      <c r="N16" s="37">
        <f>SUM(N3:N12)/COUNTA(N3:N12)/N15</f>
        <v/>
      </c>
      <c r="O16" s="37">
        <f>SUM(O3:O12)/COUNTA(O3:O12)/O15</f>
        <v/>
      </c>
      <c r="P16" s="37">
        <f>SUM(P3:P12)/COUNTA(P3:P12)/P15</f>
        <v/>
      </c>
      <c r="Q16" s="37">
        <f>SUM(Q3:Q12)/COUNTA(Q3:Q12)/Q15</f>
        <v/>
      </c>
      <c r="R16" s="37">
        <f>SUM(R3:R12)/COUNTA(R3:R12)/R15</f>
        <v/>
      </c>
      <c r="S16" s="37">
        <f>SUM(S3:S12)/COUNTA(S3:S12)/S15</f>
        <v/>
      </c>
      <c r="T16" s="37">
        <f>SUM(T3:T12)/COUNTA(T3:T12)/T15</f>
        <v/>
      </c>
      <c r="U16" s="37">
        <f>SUM(U3:U12)/COUNTA(U3:U12)/U15</f>
        <v/>
      </c>
      <c r="V16" s="37">
        <f>SUM(V3:V12)/COUNTA(V3:V12)/V15</f>
        <v/>
      </c>
      <c r="W16" s="37">
        <f>SUM(W3:W12)/COUNTA(W3:W12)/W15</f>
        <v/>
      </c>
      <c r="X16" s="37">
        <f>SUM(X3:X12)/COUNTA(X3:X12)/X15</f>
        <v/>
      </c>
      <c r="Y16" s="37">
        <f>SUM(Y3:Y12)/COUNTA(Y3:Y12)/Y15</f>
        <v/>
      </c>
      <c r="Z16" s="37">
        <f>SUM(Z3:Z12)/COUNTA(Z3:Z12)/Z15</f>
        <v/>
      </c>
      <c r="AA16" s="37">
        <f>SUM(AA3:AA12)/COUNTA(AA3:AA12)/AA15</f>
        <v/>
      </c>
      <c r="AB16" s="37">
        <f>SUM(AB3:AB12)/COUNTA(AB3:AB12)/AB15</f>
        <v/>
      </c>
      <c r="AC16" s="37">
        <f>SUM(AC3:AC12)/COUNTA(AC3:AC12)/AC15</f>
        <v/>
      </c>
      <c r="AD16" s="37">
        <f>SUM(AD3:AD12)/COUNTA(AD3:AD12)/AD15</f>
        <v/>
      </c>
      <c r="AE16" s="37">
        <f>SUM(AE3:AE12)/COUNTA(AE3:AE12)/AE15</f>
        <v/>
      </c>
      <c r="AF16" s="16" t="n"/>
    </row>
    <row r="17" ht="13" customHeight="1" s="30">
      <c r="AF17" s="16" t="n"/>
    </row>
    <row r="18" ht="13" customHeight="1" s="30">
      <c r="E18" s="2" t="n"/>
      <c r="F18" s="2" t="n"/>
      <c r="H18" s="2" t="n"/>
      <c r="I18" s="2" t="n"/>
      <c r="L18" s="2" t="n"/>
      <c r="N18" s="2" t="n"/>
      <c r="Q18" s="2" t="n"/>
      <c r="R18" s="2" t="n"/>
      <c r="S18" s="2" t="n"/>
      <c r="T18" s="2" t="n"/>
      <c r="U18" s="2" t="n"/>
      <c r="V18" s="2" t="n"/>
      <c r="W18" s="2" t="n"/>
      <c r="X18" s="2" t="n"/>
      <c r="AF18" s="16" t="n"/>
    </row>
    <row r="19" ht="13" customHeight="1" s="30">
      <c r="AF19" s="16" t="n"/>
    </row>
    <row r="20" ht="13" customHeight="1" s="30">
      <c r="AF20" s="16" t="n"/>
    </row>
    <row r="21" ht="13" customHeight="1" s="30">
      <c r="AF21" s="16" t="n"/>
    </row>
    <row r="22" ht="13" customHeight="1" s="30">
      <c r="AF22" s="16" t="n"/>
    </row>
    <row r="23" ht="13" customHeight="1" s="30">
      <c r="AF23" s="16" t="n"/>
    </row>
    <row r="24" ht="13" customHeight="1" s="30">
      <c r="AF24" s="16" t="n"/>
    </row>
    <row r="25" ht="13" customHeight="1" s="30">
      <c r="AF25" s="16" t="n"/>
    </row>
    <row r="26" ht="13" customHeight="1" s="30">
      <c r="AF26" s="16" t="n"/>
    </row>
    <row r="27" ht="13" customHeight="1" s="30">
      <c r="AF27" s="16" t="n"/>
    </row>
    <row r="28" ht="13" customHeight="1" s="30">
      <c r="AF28" s="16" t="n"/>
    </row>
    <row r="29" ht="13" customHeight="1" s="30">
      <c r="AF29" s="16" t="n"/>
    </row>
    <row r="30" ht="13" customHeight="1" s="30"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16" t="n"/>
    </row>
    <row r="31" ht="13" customHeight="1" s="30">
      <c r="AF31" s="16" t="n"/>
    </row>
    <row r="32" ht="13" customHeight="1" s="30">
      <c r="AF32" s="16" t="n"/>
    </row>
    <row r="33" ht="13" customHeight="1" s="30">
      <c r="AF33" s="16" t="n"/>
    </row>
    <row r="34" ht="13" customHeight="1" s="30">
      <c r="AF34" s="16" t="n"/>
    </row>
    <row r="35" ht="13" customHeight="1" s="30">
      <c r="AF35" s="16" t="n"/>
    </row>
    <row r="36" ht="13" customHeight="1" s="30">
      <c r="AF36" s="16" t="n"/>
    </row>
    <row r="37" ht="13" customHeight="1" s="30">
      <c r="AF37" s="16" t="n"/>
    </row>
    <row r="38" ht="13" customHeight="1" s="30">
      <c r="AF38" s="16" t="n"/>
    </row>
    <row r="39" ht="13" customHeight="1" s="30">
      <c r="AF39" s="16" t="n"/>
    </row>
    <row r="40" ht="13" customHeight="1" s="30">
      <c r="AF40" s="16" t="n"/>
    </row>
    <row r="41" ht="13" customHeight="1" s="30">
      <c r="AF41" s="16" t="n"/>
    </row>
    <row r="42" ht="13" customHeight="1" s="30">
      <c r="AF42" s="16" t="n"/>
    </row>
    <row r="43" ht="13" customHeight="1" s="30">
      <c r="AF43" s="16" t="n"/>
    </row>
    <row r="44" ht="13" customHeight="1" s="30">
      <c r="AF44" s="16" t="n"/>
    </row>
    <row r="45" ht="13" customHeight="1" s="30">
      <c r="AF45" s="16" t="n"/>
    </row>
    <row r="46" ht="13" customHeight="1" s="30">
      <c r="AF46" s="16" t="n"/>
    </row>
    <row r="47" ht="13" customHeight="1" s="30">
      <c r="AF47" s="16" t="n"/>
    </row>
    <row r="48" ht="13" customHeight="1" s="30">
      <c r="AF48" s="16" t="n"/>
    </row>
    <row r="49" ht="13" customHeight="1" s="30">
      <c r="AF49" s="16" t="n"/>
    </row>
    <row r="50" ht="13" customHeight="1" s="30">
      <c r="AF50" s="16" t="n"/>
    </row>
    <row r="51" ht="13" customHeight="1" s="30">
      <c r="AF51" s="16" t="n"/>
    </row>
    <row r="52" ht="13" customHeight="1" s="30">
      <c r="AF52" s="16" t="n"/>
    </row>
    <row r="53" ht="13" customHeight="1" s="30">
      <c r="AF53" s="16" t="n"/>
    </row>
    <row r="54" ht="13" customHeight="1" s="30">
      <c r="AF54" s="16" t="n"/>
    </row>
    <row r="55" ht="13" customHeight="1" s="30">
      <c r="AF55" s="16" t="n"/>
    </row>
    <row r="56" ht="13" customHeight="1" s="30">
      <c r="AF56" s="16" t="n"/>
    </row>
    <row r="57" ht="13" customHeight="1" s="30">
      <c r="AF57" s="16" t="n"/>
    </row>
    <row r="58" ht="13" customHeight="1" s="30">
      <c r="AF58" s="16" t="n"/>
    </row>
    <row r="59" ht="13" customHeight="1" s="30">
      <c r="AF59" s="16" t="n"/>
    </row>
    <row r="60" ht="13" customHeight="1" s="30">
      <c r="AF60" s="16" t="n"/>
    </row>
    <row r="61" ht="13" customHeight="1" s="30">
      <c r="AF61" s="16" t="n"/>
    </row>
    <row r="62" ht="13" customHeight="1" s="30">
      <c r="AF62" s="16" t="n"/>
    </row>
    <row r="63" ht="13" customHeight="1" s="30">
      <c r="AF63" s="16" t="n"/>
    </row>
    <row r="64" ht="13" customHeight="1" s="30">
      <c r="AF64" s="16" t="n"/>
    </row>
    <row r="65" ht="13" customHeight="1" s="30">
      <c r="AF65" s="16" t="n"/>
    </row>
    <row r="66" ht="13" customHeight="1" s="30">
      <c r="AF66" s="16" t="n"/>
    </row>
    <row r="67" ht="13" customHeight="1" s="30">
      <c r="AF67" s="16" t="n"/>
    </row>
    <row r="68" ht="13" customHeight="1" s="30">
      <c r="AF68" s="16" t="n"/>
    </row>
    <row r="69" ht="13" customHeight="1" s="30">
      <c r="AF69" s="16" t="n"/>
    </row>
    <row r="70" ht="13" customHeight="1" s="30">
      <c r="AF70" s="16" t="n"/>
    </row>
    <row r="71" ht="13" customHeight="1" s="30">
      <c r="AF71" s="16" t="n"/>
    </row>
    <row r="72" ht="13" customHeight="1" s="30">
      <c r="AF72" s="16" t="n"/>
    </row>
    <row r="73" ht="13" customHeight="1" s="30">
      <c r="AF73" s="16" t="n"/>
    </row>
    <row r="74" ht="13" customHeight="1" s="30">
      <c r="AF74" s="16" t="n"/>
    </row>
    <row r="75" ht="13" customHeight="1" s="30">
      <c r="AF75" s="16" t="n"/>
    </row>
    <row r="76" ht="13" customHeight="1" s="30">
      <c r="AF76" s="16" t="n"/>
    </row>
    <row r="77" ht="13" customHeight="1" s="30">
      <c r="AF77" s="16" t="n"/>
    </row>
    <row r="78" ht="13" customHeight="1" s="30">
      <c r="AF78" s="16" t="n"/>
    </row>
    <row r="79" ht="13" customHeight="1" s="30">
      <c r="AF79" s="16" t="n"/>
    </row>
    <row r="80" ht="13" customHeight="1" s="30">
      <c r="AF80" s="16" t="n"/>
    </row>
    <row r="81" ht="13" customHeight="1" s="30">
      <c r="AF81" s="16" t="n"/>
    </row>
    <row r="82" ht="13" customHeight="1" s="30">
      <c r="AF82" s="16" t="n"/>
    </row>
    <row r="83" ht="13" customHeight="1" s="30">
      <c r="AF83" s="16" t="n"/>
    </row>
    <row r="84" ht="13" customHeight="1" s="30">
      <c r="AF84" s="16" t="n"/>
    </row>
    <row r="85" ht="13" customHeight="1" s="30">
      <c r="AF85" s="16" t="n"/>
    </row>
    <row r="86" ht="13" customHeight="1" s="30">
      <c r="AF86" s="16" t="n"/>
    </row>
    <row r="87" ht="13" customHeight="1" s="30">
      <c r="AF87" s="16" t="n"/>
    </row>
    <row r="88" ht="13" customHeight="1" s="30">
      <c r="AF88" s="16" t="n"/>
    </row>
    <row r="89" ht="13" customHeight="1" s="30">
      <c r="AF89" s="16" t="n"/>
    </row>
    <row r="90" ht="13" customHeight="1" s="30">
      <c r="AF90" s="16" t="n"/>
    </row>
    <row r="91" ht="13" customHeight="1" s="30">
      <c r="AF91" s="16" t="n"/>
    </row>
    <row r="92" ht="13" customHeight="1" s="30">
      <c r="AF92" s="16" t="n"/>
    </row>
    <row r="93" ht="13" customHeight="1" s="30">
      <c r="AF93" s="16" t="n"/>
    </row>
    <row r="94" ht="13" customHeight="1" s="30">
      <c r="AF94" s="16" t="n"/>
    </row>
    <row r="95" ht="13" customHeight="1" s="30">
      <c r="AF95" s="16" t="n"/>
    </row>
    <row r="96" ht="13" customHeight="1" s="30">
      <c r="AF96" s="16" t="n"/>
    </row>
    <row r="97" ht="13" customHeight="1" s="30">
      <c r="AF97" s="16" t="n"/>
    </row>
    <row r="98" ht="13" customHeight="1" s="30">
      <c r="AF98" s="16" t="n"/>
    </row>
    <row r="99" ht="13" customHeight="1" s="30">
      <c r="AF99" s="16" t="n"/>
    </row>
    <row r="100" ht="13" customHeight="1" s="30">
      <c r="AF100" s="16" t="n"/>
    </row>
    <row r="101" ht="13" customHeight="1" s="30">
      <c r="AF101" s="16" t="n"/>
    </row>
    <row r="102" ht="13" customHeight="1" s="30">
      <c r="AF102" s="16" t="n"/>
    </row>
    <row r="103" ht="13" customHeight="1" s="30">
      <c r="AF103" s="16" t="n"/>
    </row>
    <row r="104" ht="13" customHeight="1" s="30">
      <c r="AF104" s="16" t="n"/>
    </row>
    <row r="105" ht="13" customHeight="1" s="30">
      <c r="AF105" s="16" t="n"/>
    </row>
    <row r="106" ht="13" customHeight="1" s="30">
      <c r="AF106" s="16" t="n"/>
    </row>
    <row r="107" ht="13" customHeight="1" s="30">
      <c r="AF107" s="16" t="n"/>
    </row>
    <row r="108" ht="13" customHeight="1" s="30">
      <c r="AF108" s="16" t="n"/>
    </row>
    <row r="109" ht="13" customHeight="1" s="30">
      <c r="AF109" s="16" t="n"/>
    </row>
    <row r="110" ht="13" customHeight="1" s="30">
      <c r="AF110" s="16" t="n"/>
    </row>
    <row r="111" ht="13" customHeight="1" s="30">
      <c r="AF111" s="16" t="n"/>
    </row>
    <row r="112" ht="13" customHeight="1" s="30">
      <c r="AF112" s="16" t="n"/>
    </row>
    <row r="113" ht="13" customHeight="1" s="30">
      <c r="AF113" s="16" t="n"/>
    </row>
    <row r="114" ht="13" customHeight="1" s="30">
      <c r="AF114" s="16" t="n"/>
    </row>
    <row r="115" ht="13" customHeight="1" s="30">
      <c r="AF115" s="16" t="n"/>
    </row>
    <row r="116" ht="13" customHeight="1" s="30">
      <c r="AF116" s="16" t="n"/>
    </row>
    <row r="117" ht="13" customHeight="1" s="30">
      <c r="AF117" s="16" t="n"/>
    </row>
    <row r="118" ht="13" customHeight="1" s="30">
      <c r="AF118" s="16" t="n"/>
    </row>
    <row r="119" ht="13" customHeight="1" s="30">
      <c r="AF119" s="16" t="n"/>
    </row>
    <row r="120" ht="13" customHeight="1" s="30">
      <c r="AF120" s="16" t="n"/>
    </row>
    <row r="121" ht="13" customHeight="1" s="30">
      <c r="AF121" s="16" t="n"/>
    </row>
    <row r="122" ht="13" customHeight="1" s="30">
      <c r="AF122" s="16" t="n"/>
    </row>
    <row r="123" ht="13" customHeight="1" s="30">
      <c r="AF123" s="16" t="n"/>
    </row>
    <row r="124" ht="13" customHeight="1" s="30">
      <c r="AF124" s="16" t="n"/>
    </row>
    <row r="125" ht="13" customHeight="1" s="30">
      <c r="AF125" s="16" t="n"/>
    </row>
    <row r="126" ht="13" customHeight="1" s="30">
      <c r="AF126" s="16" t="n"/>
    </row>
    <row r="127" ht="13" customHeight="1" s="30">
      <c r="AF127" s="16" t="n"/>
    </row>
    <row r="128" ht="13" customHeight="1" s="30">
      <c r="AF128" s="16" t="n"/>
    </row>
    <row r="129" ht="13" customHeight="1" s="30">
      <c r="AF129" s="16" t="n"/>
    </row>
    <row r="130" ht="13" customHeight="1" s="30">
      <c r="AF130" s="16" t="n"/>
    </row>
    <row r="131" ht="13" customHeight="1" s="30">
      <c r="AF131" s="16" t="n"/>
    </row>
    <row r="132" ht="13" customHeight="1" s="30">
      <c r="AF132" s="16" t="n"/>
    </row>
    <row r="133" ht="13" customHeight="1" s="30">
      <c r="AF133" s="16" t="n"/>
    </row>
    <row r="134" ht="13" customHeight="1" s="30">
      <c r="AF134" s="16" t="n"/>
    </row>
    <row r="135" ht="13" customHeight="1" s="30">
      <c r="AF135" s="16" t="n"/>
    </row>
    <row r="136" ht="13" customHeight="1" s="30">
      <c r="AF136" s="16" t="n"/>
    </row>
    <row r="137" ht="13" customHeight="1" s="30">
      <c r="AF137" s="16" t="n"/>
    </row>
    <row r="138" ht="13" customHeight="1" s="30">
      <c r="AF138" s="16" t="n"/>
    </row>
    <row r="139" ht="13" customHeight="1" s="30">
      <c r="AF139" s="16" t="n"/>
    </row>
    <row r="140" ht="13" customHeight="1" s="30">
      <c r="AF140" s="16" t="n"/>
    </row>
    <row r="141" ht="13" customHeight="1" s="30">
      <c r="AF141" s="16" t="n"/>
    </row>
    <row r="142" ht="13" customHeight="1" s="30">
      <c r="AF142" s="16" t="n"/>
    </row>
    <row r="143" ht="13" customHeight="1" s="30">
      <c r="AF143" s="16" t="n"/>
    </row>
    <row r="144" ht="13" customHeight="1" s="30">
      <c r="AF144" s="16" t="n"/>
    </row>
    <row r="145" ht="13" customHeight="1" s="30">
      <c r="AF145" s="16" t="n"/>
    </row>
    <row r="146" ht="13" customHeight="1" s="30">
      <c r="AF146" s="16" t="n"/>
    </row>
    <row r="147" ht="13" customHeight="1" s="30">
      <c r="AF147" s="16" t="n"/>
    </row>
    <row r="148" ht="13" customHeight="1" s="30">
      <c r="AF148" s="16" t="n"/>
    </row>
    <row r="149" ht="13" customHeight="1" s="30">
      <c r="AF149" s="16" t="n"/>
    </row>
    <row r="150" ht="13" customHeight="1" s="30">
      <c r="AF150" s="16" t="n"/>
    </row>
    <row r="151" ht="13" customHeight="1" s="30">
      <c r="AF151" s="16" t="n"/>
    </row>
    <row r="152" ht="13" customHeight="1" s="30">
      <c r="AF152" s="16" t="n"/>
    </row>
    <row r="153" ht="13" customHeight="1" s="30">
      <c r="AF153" s="16" t="n"/>
    </row>
    <row r="154" ht="13" customHeight="1" s="30">
      <c r="AF154" s="16" t="n"/>
    </row>
    <row r="155" ht="13" customHeight="1" s="30">
      <c r="AF155" s="16" t="n"/>
    </row>
    <row r="156" ht="13" customHeight="1" s="30">
      <c r="AF156" s="16" t="n"/>
    </row>
    <row r="157" ht="13" customHeight="1" s="30">
      <c r="AF157" s="16" t="n"/>
    </row>
    <row r="158" ht="13" customHeight="1" s="30">
      <c r="AF158" s="16" t="n"/>
    </row>
    <row r="159" ht="13" customHeight="1" s="30">
      <c r="AF159" s="16" t="n"/>
    </row>
    <row r="160" ht="13" customHeight="1" s="30">
      <c r="AF160" s="16" t="n"/>
    </row>
    <row r="161" ht="13" customHeight="1" s="30">
      <c r="AF161" s="16" t="n"/>
    </row>
    <row r="162" ht="13" customHeight="1" s="30">
      <c r="AF162" s="16" t="n"/>
    </row>
    <row r="163" ht="13" customHeight="1" s="30">
      <c r="AF163" s="16" t="n"/>
    </row>
    <row r="164" ht="13" customHeight="1" s="30">
      <c r="AF164" s="16" t="n"/>
    </row>
    <row r="165" ht="13" customHeight="1" s="30">
      <c r="AF165" s="16" t="n"/>
    </row>
    <row r="166" ht="13" customHeight="1" s="30">
      <c r="AF166" s="16" t="n"/>
    </row>
    <row r="167" ht="13" customHeight="1" s="30">
      <c r="AF167" s="16" t="n"/>
    </row>
    <row r="168" ht="13" customHeight="1" s="30">
      <c r="AF168" s="16" t="n"/>
    </row>
    <row r="169" ht="13" customHeight="1" s="30">
      <c r="AF169" s="16" t="n"/>
    </row>
    <row r="170" ht="13" customHeight="1" s="30">
      <c r="AF170" s="16" t="n"/>
    </row>
    <row r="171" ht="13" customHeight="1" s="30">
      <c r="AF171" s="16" t="n"/>
    </row>
    <row r="172" ht="13" customHeight="1" s="30">
      <c r="AF172" s="16" t="n"/>
    </row>
    <row r="173" ht="13" customHeight="1" s="30">
      <c r="AF173" s="16" t="n"/>
    </row>
    <row r="174" ht="13" customHeight="1" s="30">
      <c r="AF174" s="16" t="n"/>
    </row>
    <row r="175" ht="13" customHeight="1" s="30">
      <c r="AF175" s="16" t="n"/>
    </row>
    <row r="176" ht="13" customHeight="1" s="30">
      <c r="AF176" s="16" t="n"/>
    </row>
    <row r="177" ht="13" customHeight="1" s="30">
      <c r="AF177" s="16" t="n"/>
    </row>
    <row r="178" ht="13" customHeight="1" s="30">
      <c r="AF178" s="16" t="n"/>
    </row>
    <row r="179" ht="13" customHeight="1" s="30">
      <c r="AF179" s="16" t="n"/>
    </row>
    <row r="180" ht="13" customHeight="1" s="30">
      <c r="AF180" s="16" t="n"/>
    </row>
    <row r="181" ht="13" customHeight="1" s="30">
      <c r="AF181" s="16" t="n"/>
    </row>
    <row r="182" ht="13" customHeight="1" s="30">
      <c r="AF182" s="16" t="n"/>
    </row>
    <row r="183" ht="13" customHeight="1" s="30">
      <c r="AF183" s="16" t="n"/>
    </row>
    <row r="184" ht="13" customHeight="1" s="30">
      <c r="AF184" s="16" t="n"/>
    </row>
    <row r="185" ht="13" customHeight="1" s="30">
      <c r="AF185" s="16" t="n"/>
    </row>
    <row r="186" ht="13" customHeight="1" s="30">
      <c r="AF186" s="16" t="n"/>
    </row>
    <row r="187" ht="13" customHeight="1" s="30">
      <c r="AF187" s="16" t="n"/>
    </row>
    <row r="188" ht="13" customHeight="1" s="30">
      <c r="AF188" s="16" t="n"/>
    </row>
    <row r="189" ht="13" customHeight="1" s="30">
      <c r="AF189" s="16" t="n"/>
    </row>
    <row r="190" ht="13" customHeight="1" s="30">
      <c r="AF190" s="16" t="n"/>
    </row>
    <row r="191" ht="13" customHeight="1" s="30">
      <c r="AF191" s="16" t="n"/>
    </row>
    <row r="192" ht="13" customHeight="1" s="30">
      <c r="AF192" s="16" t="n"/>
    </row>
    <row r="193" ht="13" customHeight="1" s="30">
      <c r="AF193" s="16" t="n"/>
    </row>
    <row r="194" ht="13" customHeight="1" s="30">
      <c r="AF194" s="16" t="n"/>
    </row>
    <row r="195" ht="13" customHeight="1" s="30">
      <c r="AF195" s="16" t="n"/>
    </row>
    <row r="196" ht="13" customHeight="1" s="30">
      <c r="AF196" s="16" t="n"/>
    </row>
    <row r="197" ht="13" customHeight="1" s="30">
      <c r="AF197" s="16" t="n"/>
    </row>
    <row r="198" ht="13" customHeight="1" s="30">
      <c r="AF198" s="16" t="n"/>
    </row>
    <row r="199" ht="13" customHeight="1" s="30">
      <c r="AF199" s="16" t="n"/>
    </row>
    <row r="200" ht="13" customHeight="1" s="30">
      <c r="AF200" s="16" t="n"/>
    </row>
    <row r="201" ht="13" customHeight="1" s="30">
      <c r="AF201" s="16" t="n"/>
    </row>
    <row r="202" ht="13" customHeight="1" s="30">
      <c r="AF202" s="16" t="n"/>
    </row>
    <row r="203" ht="13" customHeight="1" s="30">
      <c r="AF203" s="16" t="n"/>
    </row>
    <row r="204" ht="13" customHeight="1" s="30">
      <c r="AF204" s="16" t="n"/>
    </row>
    <row r="205" ht="13" customHeight="1" s="30">
      <c r="AF205" s="16" t="n"/>
    </row>
    <row r="206" ht="13" customHeight="1" s="30">
      <c r="AF206" s="16" t="n"/>
    </row>
    <row r="207" ht="13" customHeight="1" s="30">
      <c r="AF207" s="16" t="n"/>
    </row>
    <row r="208" ht="13" customHeight="1" s="30">
      <c r="AF208" s="16" t="n"/>
    </row>
    <row r="209" ht="13" customHeight="1" s="30">
      <c r="AF209" s="16" t="n"/>
    </row>
    <row r="210" ht="13" customHeight="1" s="30">
      <c r="AF210" s="16" t="n"/>
    </row>
    <row r="211" ht="13" customHeight="1" s="30">
      <c r="AF211" s="16" t="n"/>
    </row>
    <row r="212" ht="13" customHeight="1" s="30">
      <c r="AF212" s="16" t="n"/>
    </row>
    <row r="213" ht="13" customHeight="1" s="30">
      <c r="AF213" s="16" t="n"/>
    </row>
    <row r="214" ht="13" customHeight="1" s="30">
      <c r="AF214" s="16" t="n"/>
    </row>
    <row r="215" ht="13" customHeight="1" s="30">
      <c r="AF215" s="16" t="n"/>
    </row>
    <row r="216" ht="13" customHeight="1" s="30">
      <c r="AF216" s="16" t="n"/>
    </row>
    <row r="217" ht="13" customHeight="1" s="30">
      <c r="AF217" s="16" t="n"/>
    </row>
    <row r="218" ht="13" customHeight="1" s="30">
      <c r="AF218" s="16" t="n"/>
    </row>
    <row r="219" ht="13" customHeight="1" s="30">
      <c r="AF219" s="16" t="n"/>
    </row>
    <row r="220" ht="13" customHeight="1" s="30">
      <c r="AF220" s="16" t="n"/>
    </row>
    <row r="221" ht="13" customHeight="1" s="30">
      <c r="AF221" s="16" t="n"/>
    </row>
    <row r="222" ht="13" customHeight="1" s="30">
      <c r="AF222" s="16" t="n"/>
    </row>
    <row r="223" ht="13" customHeight="1" s="30">
      <c r="AF223" s="16" t="n"/>
    </row>
    <row r="224" ht="13" customHeight="1" s="30">
      <c r="AF224" s="16" t="n"/>
    </row>
    <row r="225" ht="13" customHeight="1" s="30">
      <c r="AF225" s="16" t="n"/>
    </row>
    <row r="226" ht="13" customHeight="1" s="30">
      <c r="AF226" s="16" t="n"/>
    </row>
    <row r="227" ht="13" customHeight="1" s="30">
      <c r="AF227" s="16" t="n"/>
    </row>
    <row r="228" ht="13" customHeight="1" s="30">
      <c r="AF228" s="16" t="n"/>
    </row>
    <row r="229" ht="13" customHeight="1" s="30">
      <c r="AF229" s="16" t="n"/>
    </row>
    <row r="230" ht="13" customHeight="1" s="30">
      <c r="AF230" s="16" t="n"/>
    </row>
    <row r="231" ht="13" customHeight="1" s="30">
      <c r="AF231" s="16" t="n"/>
    </row>
    <row r="232" ht="13" customHeight="1" s="30">
      <c r="AF232" s="16" t="n"/>
    </row>
    <row r="233" ht="13" customHeight="1" s="30">
      <c r="AF233" s="16" t="n"/>
    </row>
    <row r="234" ht="13" customHeight="1" s="30">
      <c r="AF234" s="16" t="n"/>
    </row>
    <row r="235" ht="13" customHeight="1" s="30">
      <c r="AF235" s="16" t="n"/>
    </row>
    <row r="236" ht="13" customHeight="1" s="30">
      <c r="AF236" s="16" t="n"/>
    </row>
    <row r="237" ht="13" customHeight="1" s="30">
      <c r="AF237" s="16" t="n"/>
    </row>
    <row r="238" ht="13" customHeight="1" s="30">
      <c r="AF238" s="16" t="n"/>
    </row>
    <row r="239" ht="13" customHeight="1" s="30">
      <c r="AF239" s="16" t="n"/>
    </row>
    <row r="240" ht="13" customHeight="1" s="30">
      <c r="AF240" s="16" t="n"/>
    </row>
    <row r="241" ht="13" customHeight="1" s="30">
      <c r="AF241" s="16" t="n"/>
    </row>
    <row r="242" ht="13" customHeight="1" s="30">
      <c r="AF242" s="16" t="n"/>
    </row>
    <row r="243" ht="13" customHeight="1" s="30">
      <c r="AF243" s="16" t="n"/>
    </row>
    <row r="244" ht="13" customHeight="1" s="30">
      <c r="AF244" s="16" t="n"/>
    </row>
    <row r="245" ht="13" customHeight="1" s="30">
      <c r="AF245" s="16" t="n"/>
    </row>
    <row r="246" ht="13" customHeight="1" s="30">
      <c r="AF246" s="16" t="n"/>
    </row>
    <row r="247" ht="13" customHeight="1" s="30">
      <c r="AF247" s="16" t="n"/>
    </row>
    <row r="248" ht="13" customHeight="1" s="30">
      <c r="AF248" s="16" t="n"/>
    </row>
    <row r="249" ht="13" customHeight="1" s="30">
      <c r="AF249" s="16" t="n"/>
    </row>
    <row r="250" ht="13" customHeight="1" s="30">
      <c r="AF250" s="16" t="n"/>
    </row>
    <row r="251" ht="13" customHeight="1" s="30">
      <c r="AF251" s="16" t="n"/>
    </row>
    <row r="252" ht="13" customHeight="1" s="30">
      <c r="AF252" s="16" t="n"/>
    </row>
    <row r="253" ht="13" customHeight="1" s="30">
      <c r="AF253" s="16" t="n"/>
    </row>
    <row r="254" ht="13" customHeight="1" s="30">
      <c r="AF254" s="16" t="n"/>
    </row>
    <row r="255" ht="13" customHeight="1" s="30">
      <c r="AF255" s="16" t="n"/>
    </row>
    <row r="256" ht="13" customHeight="1" s="30">
      <c r="AF256" s="16" t="n"/>
    </row>
    <row r="257" ht="13" customHeight="1" s="30">
      <c r="AF257" s="16" t="n"/>
    </row>
    <row r="258" ht="13" customHeight="1" s="30">
      <c r="AF258" s="16" t="n"/>
    </row>
    <row r="259" ht="13" customHeight="1" s="30">
      <c r="AF259" s="16" t="n"/>
    </row>
    <row r="260" ht="13" customHeight="1" s="30">
      <c r="AF260" s="16" t="n"/>
    </row>
    <row r="261" ht="13" customHeight="1" s="30">
      <c r="AF261" s="16" t="n"/>
    </row>
    <row r="262" ht="13" customHeight="1" s="30">
      <c r="AF262" s="16" t="n"/>
    </row>
    <row r="263" ht="13" customHeight="1" s="30">
      <c r="AF263" s="16" t="n"/>
    </row>
    <row r="264" ht="13" customHeight="1" s="30">
      <c r="AF264" s="16" t="n"/>
    </row>
    <row r="265" ht="13" customHeight="1" s="30">
      <c r="AF265" s="16" t="n"/>
    </row>
    <row r="266" ht="13" customHeight="1" s="30">
      <c r="AF266" s="16" t="n"/>
    </row>
    <row r="267" ht="13" customHeight="1" s="30">
      <c r="AF267" s="16" t="n"/>
    </row>
    <row r="268" ht="13" customHeight="1" s="30">
      <c r="AF268" s="16" t="n"/>
    </row>
    <row r="269" ht="13" customHeight="1" s="30">
      <c r="AF269" s="16" t="n"/>
    </row>
    <row r="270" ht="13" customHeight="1" s="30">
      <c r="AF270" s="16" t="n"/>
    </row>
    <row r="271" ht="13" customHeight="1" s="30">
      <c r="AF271" s="16" t="n"/>
    </row>
    <row r="272" ht="13" customHeight="1" s="30">
      <c r="AF272" s="16" t="n"/>
    </row>
    <row r="273" ht="13" customHeight="1" s="30">
      <c r="AF273" s="16" t="n"/>
    </row>
    <row r="274" ht="13" customHeight="1" s="30">
      <c r="AF274" s="16" t="n"/>
    </row>
    <row r="275" ht="13" customHeight="1" s="30">
      <c r="AF275" s="16" t="n"/>
    </row>
    <row r="276" ht="13" customHeight="1" s="30">
      <c r="AF276" s="16" t="n"/>
    </row>
    <row r="277" ht="13" customHeight="1" s="30">
      <c r="AF277" s="16" t="n"/>
    </row>
    <row r="278" ht="13" customHeight="1" s="30">
      <c r="AF278" s="16" t="n"/>
    </row>
    <row r="279" ht="13" customHeight="1" s="30">
      <c r="AF279" s="16" t="n"/>
    </row>
    <row r="280" ht="13" customHeight="1" s="30">
      <c r="AF280" s="16" t="n"/>
    </row>
    <row r="281" ht="13" customHeight="1" s="30">
      <c r="AF281" s="16" t="n"/>
    </row>
    <row r="282" ht="13" customHeight="1" s="30">
      <c r="AF282" s="16" t="n"/>
    </row>
    <row r="283" ht="13" customHeight="1" s="30">
      <c r="AF283" s="16" t="n"/>
    </row>
    <row r="284" ht="13" customHeight="1" s="30">
      <c r="AF284" s="16" t="n"/>
    </row>
    <row r="285" ht="13" customHeight="1" s="30">
      <c r="AF285" s="16" t="n"/>
    </row>
    <row r="286" ht="13" customHeight="1" s="30">
      <c r="AF286" s="16" t="n"/>
    </row>
    <row r="287" ht="13" customHeight="1" s="30">
      <c r="AF287" s="16" t="n"/>
    </row>
    <row r="288" ht="13" customHeight="1" s="30">
      <c r="AF288" s="16" t="n"/>
    </row>
    <row r="289" ht="13" customHeight="1" s="30">
      <c r="AF289" s="16" t="n"/>
    </row>
    <row r="290" ht="13" customHeight="1" s="30">
      <c r="AF290" s="16" t="n"/>
    </row>
    <row r="291" ht="13" customHeight="1" s="30">
      <c r="AF291" s="16" t="n"/>
    </row>
    <row r="292" ht="13" customHeight="1" s="30">
      <c r="AF292" s="16" t="n"/>
    </row>
    <row r="293" ht="13" customHeight="1" s="30">
      <c r="AF293" s="16" t="n"/>
    </row>
    <row r="294" ht="13" customHeight="1" s="30">
      <c r="AF294" s="16" t="n"/>
    </row>
    <row r="295" ht="13" customHeight="1" s="30">
      <c r="AF295" s="16" t="n"/>
    </row>
    <row r="296" ht="13" customHeight="1" s="30">
      <c r="AF296" s="16" t="n"/>
    </row>
    <row r="297" ht="13" customHeight="1" s="30">
      <c r="AF297" s="16" t="n"/>
    </row>
    <row r="298" ht="13" customHeight="1" s="30">
      <c r="AF298" s="16" t="n"/>
    </row>
    <row r="299" ht="13" customHeight="1" s="30">
      <c r="AF299" s="16" t="n"/>
    </row>
    <row r="300" ht="13" customHeight="1" s="30">
      <c r="AF300" s="16" t="n"/>
    </row>
    <row r="301" ht="13" customHeight="1" s="30">
      <c r="AF301" s="16" t="n"/>
    </row>
    <row r="302" ht="13" customHeight="1" s="30">
      <c r="AF302" s="16" t="n"/>
    </row>
    <row r="303" ht="13" customHeight="1" s="30">
      <c r="AF303" s="16" t="n"/>
    </row>
    <row r="304" ht="13" customHeight="1" s="30">
      <c r="AF304" s="16" t="n"/>
    </row>
    <row r="305" ht="13" customHeight="1" s="30">
      <c r="AF305" s="16" t="n"/>
    </row>
    <row r="306" ht="13" customHeight="1" s="30">
      <c r="AF306" s="16" t="n"/>
    </row>
    <row r="307" ht="13" customHeight="1" s="30">
      <c r="AF307" s="16" t="n"/>
    </row>
    <row r="308" ht="13" customHeight="1" s="30">
      <c r="AF308" s="16" t="n"/>
    </row>
    <row r="309" ht="13" customHeight="1" s="30">
      <c r="AF309" s="16" t="n"/>
    </row>
    <row r="310" ht="13" customHeight="1" s="30">
      <c r="AF310" s="16" t="n"/>
    </row>
    <row r="311" ht="13" customHeight="1" s="30">
      <c r="AF311" s="16" t="n"/>
    </row>
    <row r="312" ht="13" customHeight="1" s="30">
      <c r="AF312" s="16" t="n"/>
    </row>
    <row r="313" ht="13" customHeight="1" s="30">
      <c r="AF313" s="16" t="n"/>
    </row>
    <row r="314" ht="13" customHeight="1" s="30">
      <c r="AF314" s="16" t="n"/>
    </row>
    <row r="315" ht="13" customHeight="1" s="30">
      <c r="AF315" s="16" t="n"/>
    </row>
    <row r="316" ht="13" customHeight="1" s="30">
      <c r="AF316" s="16" t="n"/>
    </row>
    <row r="317" ht="13" customHeight="1" s="30">
      <c r="AF317" s="16" t="n"/>
    </row>
    <row r="318" ht="13" customHeight="1" s="30">
      <c r="AF318" s="16" t="n"/>
    </row>
    <row r="319" ht="13" customHeight="1" s="30">
      <c r="AF319" s="16" t="n"/>
    </row>
    <row r="320" ht="13" customHeight="1" s="30">
      <c r="AF320" s="16" t="n"/>
    </row>
    <row r="321" ht="13" customHeight="1" s="30">
      <c r="AF321" s="16" t="n"/>
    </row>
    <row r="322" ht="13" customHeight="1" s="30">
      <c r="AF322" s="16" t="n"/>
    </row>
    <row r="323" ht="13" customHeight="1" s="30">
      <c r="AF323" s="16" t="n"/>
    </row>
    <row r="324" ht="13" customHeight="1" s="30">
      <c r="AF324" s="16" t="n"/>
    </row>
    <row r="325" ht="13" customHeight="1" s="30">
      <c r="AF325" s="16" t="n"/>
    </row>
    <row r="326" ht="13" customHeight="1" s="30">
      <c r="AF326" s="16" t="n"/>
    </row>
    <row r="327" ht="13" customHeight="1" s="30">
      <c r="AF327" s="16" t="n"/>
    </row>
    <row r="328" ht="13" customHeight="1" s="30">
      <c r="AF328" s="16" t="n"/>
    </row>
    <row r="329" ht="13" customHeight="1" s="30">
      <c r="AF329" s="16" t="n"/>
    </row>
    <row r="330" ht="13" customHeight="1" s="30">
      <c r="AF330" s="16" t="n"/>
    </row>
    <row r="331" ht="13" customHeight="1" s="30">
      <c r="AF331" s="16" t="n"/>
    </row>
    <row r="332" ht="13" customHeight="1" s="30">
      <c r="AF332" s="16" t="n"/>
    </row>
    <row r="333" ht="13" customHeight="1" s="30">
      <c r="AF333" s="16" t="n"/>
    </row>
    <row r="334" ht="13" customHeight="1" s="30">
      <c r="AF334" s="16" t="n"/>
    </row>
    <row r="335" ht="13" customHeight="1" s="30">
      <c r="AF335" s="16" t="n"/>
    </row>
    <row r="336" ht="13" customHeight="1" s="30">
      <c r="AF336" s="16" t="n"/>
    </row>
    <row r="337" ht="13" customHeight="1" s="30">
      <c r="AF337" s="16" t="n"/>
    </row>
    <row r="338" ht="13" customHeight="1" s="30">
      <c r="AF338" s="16" t="n"/>
    </row>
    <row r="339" ht="13" customHeight="1" s="30">
      <c r="AF339" s="16" t="n"/>
    </row>
    <row r="340" ht="13" customHeight="1" s="30">
      <c r="AF340" s="16" t="n"/>
    </row>
    <row r="341" ht="13" customHeight="1" s="30">
      <c r="AF341" s="16" t="n"/>
    </row>
    <row r="342" ht="13" customHeight="1" s="30">
      <c r="AF342" s="16" t="n"/>
    </row>
    <row r="343" ht="13" customHeight="1" s="30">
      <c r="AF343" s="16" t="n"/>
    </row>
    <row r="344" ht="13" customHeight="1" s="30">
      <c r="AF344" s="16" t="n"/>
    </row>
    <row r="345" ht="13" customHeight="1" s="30">
      <c r="AF345" s="16" t="n"/>
    </row>
    <row r="346" ht="13" customHeight="1" s="30">
      <c r="AF346" s="16" t="n"/>
    </row>
    <row r="347" ht="13" customHeight="1" s="30">
      <c r="AF347" s="16" t="n"/>
    </row>
    <row r="348" ht="13" customHeight="1" s="30">
      <c r="AF348" s="16" t="n"/>
    </row>
    <row r="349" ht="13" customHeight="1" s="30">
      <c r="AF349" s="16" t="n"/>
    </row>
    <row r="350" ht="13" customHeight="1" s="30">
      <c r="AF350" s="16" t="n"/>
    </row>
    <row r="351" ht="13" customHeight="1" s="30">
      <c r="AF351" s="16" t="n"/>
    </row>
    <row r="352" ht="13" customHeight="1" s="30">
      <c r="AF352" s="16" t="n"/>
    </row>
    <row r="353" ht="13" customHeight="1" s="30">
      <c r="AF353" s="16" t="n"/>
    </row>
    <row r="354" ht="13" customHeight="1" s="30">
      <c r="AF354" s="16" t="n"/>
    </row>
    <row r="355" ht="13" customHeight="1" s="30">
      <c r="AF355" s="16" t="n"/>
    </row>
    <row r="356" ht="13" customHeight="1" s="30">
      <c r="AF356" s="16" t="n"/>
    </row>
    <row r="357" ht="13" customHeight="1" s="30">
      <c r="AF357" s="16" t="n"/>
    </row>
    <row r="358" ht="13" customHeight="1" s="30">
      <c r="AF358" s="16" t="n"/>
    </row>
    <row r="359" ht="13" customHeight="1" s="30">
      <c r="AF359" s="16" t="n"/>
    </row>
    <row r="360" ht="13" customHeight="1" s="30">
      <c r="AF360" s="16" t="n"/>
    </row>
    <row r="361" ht="13" customHeight="1" s="30">
      <c r="AF361" s="16" t="n"/>
    </row>
    <row r="362" ht="13" customHeight="1" s="30">
      <c r="AF362" s="16" t="n"/>
    </row>
    <row r="363" ht="13" customHeight="1" s="30">
      <c r="AF363" s="16" t="n"/>
    </row>
    <row r="364" ht="13" customHeight="1" s="30">
      <c r="AF364" s="16" t="n"/>
    </row>
    <row r="365" ht="13" customHeight="1" s="30">
      <c r="AF365" s="16" t="n"/>
    </row>
    <row r="366" ht="13" customHeight="1" s="30">
      <c r="AF366" s="16" t="n"/>
    </row>
    <row r="367" ht="13" customHeight="1" s="30">
      <c r="AF367" s="16" t="n"/>
    </row>
    <row r="368" ht="13" customHeight="1" s="30">
      <c r="AF368" s="16" t="n"/>
    </row>
    <row r="369" ht="13" customHeight="1" s="30">
      <c r="AF369" s="16" t="n"/>
    </row>
    <row r="370" ht="13" customHeight="1" s="30">
      <c r="AF370" s="16" t="n"/>
    </row>
    <row r="371" ht="13" customHeight="1" s="30">
      <c r="AF371" s="16" t="n"/>
    </row>
    <row r="372" ht="13" customHeight="1" s="30">
      <c r="AF372" s="16" t="n"/>
    </row>
    <row r="373" ht="13" customHeight="1" s="30">
      <c r="AF373" s="16" t="n"/>
    </row>
    <row r="374" ht="13" customHeight="1" s="30">
      <c r="AF374" s="16" t="n"/>
    </row>
    <row r="375" ht="13" customHeight="1" s="30">
      <c r="AF375" s="16" t="n"/>
    </row>
    <row r="376" ht="13" customHeight="1" s="30">
      <c r="AF376" s="16" t="n"/>
    </row>
    <row r="377" ht="13" customHeight="1" s="30">
      <c r="AF377" s="16" t="n"/>
    </row>
    <row r="378" ht="13" customHeight="1" s="30">
      <c r="AF378" s="16" t="n"/>
    </row>
    <row r="379" ht="13" customHeight="1" s="30">
      <c r="AF379" s="16" t="n"/>
    </row>
    <row r="380" ht="13" customHeight="1" s="30">
      <c r="AF380" s="16" t="n"/>
    </row>
    <row r="381" ht="13" customHeight="1" s="30">
      <c r="AF381" s="16" t="n"/>
    </row>
    <row r="382" ht="13" customHeight="1" s="30">
      <c r="AF382" s="16" t="n"/>
    </row>
    <row r="383" ht="13" customHeight="1" s="30">
      <c r="AF383" s="16" t="n"/>
    </row>
    <row r="384" ht="13" customHeight="1" s="30">
      <c r="AF384" s="16" t="n"/>
    </row>
    <row r="385" ht="13" customHeight="1" s="30">
      <c r="AF385" s="16" t="n"/>
    </row>
    <row r="386" ht="13" customHeight="1" s="30">
      <c r="AF386" s="16" t="n"/>
    </row>
    <row r="387" ht="13" customHeight="1" s="30">
      <c r="AF387" s="16" t="n"/>
    </row>
    <row r="388" ht="13" customHeight="1" s="30">
      <c r="AF388" s="16" t="n"/>
    </row>
    <row r="389" ht="13" customHeight="1" s="30">
      <c r="AF389" s="16" t="n"/>
    </row>
    <row r="390" ht="13" customHeight="1" s="30">
      <c r="AF390" s="16" t="n"/>
    </row>
    <row r="391" ht="13" customHeight="1" s="30">
      <c r="AF391" s="16" t="n"/>
    </row>
    <row r="392" ht="13" customHeight="1" s="30">
      <c r="AF392" s="16" t="n"/>
    </row>
    <row r="393" ht="13" customHeight="1" s="30">
      <c r="AF393" s="16" t="n"/>
    </row>
    <row r="394" ht="13" customHeight="1" s="30">
      <c r="AF394" s="16" t="n"/>
    </row>
    <row r="395" ht="13" customHeight="1" s="30">
      <c r="AF395" s="16" t="n"/>
    </row>
    <row r="396" ht="13" customHeight="1" s="30">
      <c r="AF396" s="16" t="n"/>
    </row>
    <row r="397" ht="13" customHeight="1" s="30">
      <c r="AF397" s="16" t="n"/>
    </row>
    <row r="398" ht="13" customHeight="1" s="30">
      <c r="AF398" s="16" t="n"/>
    </row>
    <row r="399" ht="13" customHeight="1" s="30">
      <c r="AF399" s="16" t="n"/>
    </row>
    <row r="400" ht="13" customHeight="1" s="30">
      <c r="AF400" s="16" t="n"/>
    </row>
    <row r="401" ht="13" customHeight="1" s="30">
      <c r="AF401" s="16" t="n"/>
    </row>
    <row r="402" ht="13" customHeight="1" s="30">
      <c r="AF402" s="16" t="n"/>
    </row>
    <row r="403" ht="13" customHeight="1" s="30">
      <c r="AF403" s="16" t="n"/>
    </row>
    <row r="404" ht="13" customHeight="1" s="30">
      <c r="AF404" s="16" t="n"/>
    </row>
    <row r="405" ht="13" customHeight="1" s="30">
      <c r="AF405" s="16" t="n"/>
    </row>
    <row r="406" ht="13" customHeight="1" s="30">
      <c r="AF406" s="16" t="n"/>
    </row>
    <row r="407" ht="13" customHeight="1" s="30">
      <c r="AF407" s="16" t="n"/>
    </row>
    <row r="408" ht="13" customHeight="1" s="30">
      <c r="AF408" s="16" t="n"/>
    </row>
    <row r="409" ht="13" customHeight="1" s="30">
      <c r="AF409" s="16" t="n"/>
    </row>
    <row r="410" ht="13" customHeight="1" s="30">
      <c r="AF410" s="16" t="n"/>
    </row>
    <row r="411" ht="13" customHeight="1" s="30">
      <c r="AF411" s="16" t="n"/>
    </row>
    <row r="412" ht="13" customHeight="1" s="30">
      <c r="AF412" s="16" t="n"/>
    </row>
    <row r="413" ht="13" customHeight="1" s="30">
      <c r="AF413" s="16" t="n"/>
    </row>
    <row r="414" ht="13" customHeight="1" s="30">
      <c r="AF414" s="16" t="n"/>
    </row>
    <row r="415" ht="13" customHeight="1" s="30">
      <c r="AF415" s="16" t="n"/>
    </row>
    <row r="416" ht="13" customHeight="1" s="30">
      <c r="AF416" s="16" t="n"/>
    </row>
    <row r="417" ht="13" customHeight="1" s="30">
      <c r="AF417" s="16" t="n"/>
    </row>
    <row r="418" ht="13" customHeight="1" s="30">
      <c r="AF418" s="16" t="n"/>
    </row>
    <row r="419" ht="13" customHeight="1" s="30">
      <c r="AF419" s="16" t="n"/>
    </row>
    <row r="420" ht="13" customHeight="1" s="30">
      <c r="AF420" s="16" t="n"/>
    </row>
    <row r="421" ht="13" customHeight="1" s="30">
      <c r="AF421" s="16" t="n"/>
    </row>
    <row r="422" ht="13" customHeight="1" s="30">
      <c r="AF422" s="16" t="n"/>
    </row>
    <row r="423" ht="13" customHeight="1" s="30">
      <c r="AF423" s="16" t="n"/>
    </row>
    <row r="424" ht="13" customHeight="1" s="30">
      <c r="AF424" s="16" t="n"/>
    </row>
    <row r="425" ht="13" customHeight="1" s="30">
      <c r="AF425" s="16" t="n"/>
    </row>
    <row r="426" ht="13" customHeight="1" s="30">
      <c r="AF426" s="16" t="n"/>
    </row>
    <row r="427" ht="13" customHeight="1" s="30">
      <c r="AF427" s="16" t="n"/>
    </row>
    <row r="428" ht="13" customHeight="1" s="30">
      <c r="AF428" s="16" t="n"/>
    </row>
    <row r="429" ht="13" customHeight="1" s="30">
      <c r="AF429" s="16" t="n"/>
    </row>
    <row r="430" ht="13" customHeight="1" s="30">
      <c r="AF430" s="16" t="n"/>
    </row>
    <row r="431" ht="13" customHeight="1" s="30">
      <c r="AF431" s="16" t="n"/>
    </row>
    <row r="432" ht="13" customHeight="1" s="30">
      <c r="AF432" s="16" t="n"/>
    </row>
    <row r="433" ht="13" customHeight="1" s="30">
      <c r="AF433" s="16" t="n"/>
    </row>
    <row r="434" ht="13" customHeight="1" s="30">
      <c r="AF434" s="16" t="n"/>
    </row>
    <row r="435" ht="13" customHeight="1" s="30">
      <c r="AF435" s="16" t="n"/>
    </row>
    <row r="436" ht="13" customHeight="1" s="30">
      <c r="AF436" s="16" t="n"/>
    </row>
    <row r="437" ht="13" customHeight="1" s="30">
      <c r="AF437" s="16" t="n"/>
    </row>
    <row r="438" ht="13" customHeight="1" s="30">
      <c r="AF438" s="16" t="n"/>
    </row>
    <row r="439" ht="13" customHeight="1" s="30">
      <c r="AF439" s="16" t="n"/>
    </row>
    <row r="440" ht="13" customHeight="1" s="30">
      <c r="AF440" s="16" t="n"/>
    </row>
    <row r="441" ht="13" customHeight="1" s="30">
      <c r="AF441" s="16" t="n"/>
    </row>
    <row r="442" ht="13" customHeight="1" s="30">
      <c r="AF442" s="16" t="n"/>
    </row>
    <row r="443" ht="13" customHeight="1" s="30">
      <c r="AF443" s="16" t="n"/>
    </row>
    <row r="444" ht="13" customHeight="1" s="30">
      <c r="AF444" s="16" t="n"/>
    </row>
    <row r="445" ht="13" customHeight="1" s="30">
      <c r="AF445" s="16" t="n"/>
    </row>
    <row r="446" ht="13" customHeight="1" s="30">
      <c r="AF446" s="16" t="n"/>
    </row>
    <row r="447" ht="13" customHeight="1" s="30">
      <c r="AF447" s="16" t="n"/>
    </row>
    <row r="448" ht="13" customHeight="1" s="30">
      <c r="AF448" s="16" t="n"/>
    </row>
    <row r="449" ht="13" customHeight="1" s="30">
      <c r="AF449" s="16" t="n"/>
    </row>
    <row r="450" ht="13" customHeight="1" s="30">
      <c r="AF450" s="16" t="n"/>
    </row>
    <row r="451" ht="13" customHeight="1" s="30">
      <c r="AF451" s="16" t="n"/>
    </row>
    <row r="452" ht="13" customHeight="1" s="30">
      <c r="AF452" s="16" t="n"/>
    </row>
    <row r="453" ht="13" customHeight="1" s="30">
      <c r="AF453" s="16" t="n"/>
    </row>
    <row r="454" ht="13" customHeight="1" s="30">
      <c r="AF454" s="16" t="n"/>
    </row>
    <row r="455" ht="13" customHeight="1" s="30">
      <c r="AF455" s="16" t="n"/>
    </row>
    <row r="456" ht="13" customHeight="1" s="30">
      <c r="AF456" s="16" t="n"/>
    </row>
    <row r="457" ht="13" customHeight="1" s="30">
      <c r="AF457" s="16" t="n"/>
    </row>
    <row r="458" ht="13" customHeight="1" s="30">
      <c r="AF458" s="16" t="n"/>
    </row>
    <row r="459" ht="13" customHeight="1" s="30">
      <c r="AF459" s="16" t="n"/>
    </row>
    <row r="460" ht="13" customHeight="1" s="30">
      <c r="AF460" s="16" t="n"/>
    </row>
    <row r="461" ht="13" customHeight="1" s="30">
      <c r="AF461" s="16" t="n"/>
    </row>
    <row r="462" ht="13" customHeight="1" s="30">
      <c r="AF462" s="16" t="n"/>
    </row>
    <row r="463" ht="13" customHeight="1" s="30">
      <c r="AF463" s="16" t="n"/>
    </row>
    <row r="464" ht="13" customHeight="1" s="30">
      <c r="AF464" s="16" t="n"/>
    </row>
    <row r="465" ht="13" customHeight="1" s="30">
      <c r="AF465" s="16" t="n"/>
    </row>
    <row r="466" ht="13" customHeight="1" s="30">
      <c r="AF466" s="16" t="n"/>
    </row>
    <row r="467" ht="13" customHeight="1" s="30">
      <c r="AF467" s="16" t="n"/>
    </row>
    <row r="468" ht="13" customHeight="1" s="30">
      <c r="AF468" s="16" t="n"/>
    </row>
    <row r="469" ht="13" customHeight="1" s="30">
      <c r="AF469" s="16" t="n"/>
    </row>
    <row r="470" ht="13" customHeight="1" s="30">
      <c r="AF470" s="16" t="n"/>
    </row>
    <row r="471" ht="13" customHeight="1" s="30">
      <c r="AF471" s="16" t="n"/>
    </row>
    <row r="472" ht="13" customHeight="1" s="30">
      <c r="AF472" s="16" t="n"/>
    </row>
    <row r="473" ht="13" customHeight="1" s="30">
      <c r="AF473" s="16" t="n"/>
    </row>
    <row r="474" ht="13" customHeight="1" s="30">
      <c r="AF474" s="16" t="n"/>
    </row>
    <row r="475" ht="13" customHeight="1" s="30">
      <c r="AF475" s="16" t="n"/>
    </row>
    <row r="476" ht="13" customHeight="1" s="30">
      <c r="AF476" s="16" t="n"/>
    </row>
    <row r="477" ht="13" customHeight="1" s="30">
      <c r="AF477" s="16" t="n"/>
    </row>
    <row r="478" ht="13" customHeight="1" s="30">
      <c r="AF478" s="16" t="n"/>
    </row>
    <row r="479" ht="13" customHeight="1" s="30">
      <c r="AF479" s="16" t="n"/>
    </row>
    <row r="480" ht="13" customHeight="1" s="30">
      <c r="AF480" s="16" t="n"/>
    </row>
    <row r="481" ht="13" customHeight="1" s="30">
      <c r="AF481" s="16" t="n"/>
    </row>
    <row r="482" ht="13" customHeight="1" s="30">
      <c r="AF482" s="16" t="n"/>
    </row>
    <row r="483" ht="13" customHeight="1" s="30">
      <c r="AF483" s="16" t="n"/>
    </row>
    <row r="484" ht="13" customHeight="1" s="30">
      <c r="AF484" s="16" t="n"/>
    </row>
    <row r="485" ht="13" customHeight="1" s="30">
      <c r="AF485" s="16" t="n"/>
    </row>
    <row r="486" ht="13" customHeight="1" s="30">
      <c r="AF486" s="16" t="n"/>
    </row>
    <row r="487" ht="13" customHeight="1" s="30">
      <c r="AF487" s="16" t="n"/>
    </row>
    <row r="488" ht="13" customHeight="1" s="30">
      <c r="AF488" s="16" t="n"/>
    </row>
    <row r="489" ht="13" customHeight="1" s="30">
      <c r="AF489" s="16" t="n"/>
    </row>
    <row r="490" ht="13" customHeight="1" s="30">
      <c r="AF490" s="16" t="n"/>
    </row>
    <row r="491" ht="13" customHeight="1" s="30">
      <c r="AF491" s="16" t="n"/>
    </row>
    <row r="492" ht="13" customHeight="1" s="30">
      <c r="AF492" s="16" t="n"/>
    </row>
    <row r="493" ht="13" customHeight="1" s="30">
      <c r="AF493" s="16" t="n"/>
    </row>
    <row r="494" ht="13" customHeight="1" s="30">
      <c r="AF494" s="16" t="n"/>
    </row>
    <row r="495" ht="13" customHeight="1" s="30">
      <c r="AF495" s="16" t="n"/>
    </row>
    <row r="496" ht="13" customHeight="1" s="30">
      <c r="AF496" s="16" t="n"/>
    </row>
    <row r="497" ht="13" customHeight="1" s="30">
      <c r="AF497" s="16" t="n"/>
    </row>
    <row r="498" ht="13" customHeight="1" s="30">
      <c r="AF498" s="16" t="n"/>
    </row>
    <row r="499" ht="13" customHeight="1" s="30">
      <c r="AF499" s="16" t="n"/>
    </row>
    <row r="500" ht="13" customHeight="1" s="30">
      <c r="AF500" s="16" t="n"/>
    </row>
    <row r="501" ht="13" customHeight="1" s="30">
      <c r="AF501" s="16" t="n"/>
    </row>
    <row r="502" ht="13" customHeight="1" s="30">
      <c r="AF502" s="16" t="n"/>
    </row>
    <row r="503" ht="13" customHeight="1" s="30">
      <c r="AF503" s="16" t="n"/>
    </row>
    <row r="504" ht="13" customHeight="1" s="30">
      <c r="AF504" s="16" t="n"/>
    </row>
    <row r="505" ht="13" customHeight="1" s="30">
      <c r="AF505" s="16" t="n"/>
    </row>
    <row r="506" ht="13" customHeight="1" s="30">
      <c r="AF506" s="16" t="n"/>
    </row>
    <row r="507" ht="13" customHeight="1" s="30">
      <c r="AF507" s="16" t="n"/>
    </row>
    <row r="508" ht="13" customHeight="1" s="30">
      <c r="AF508" s="16" t="n"/>
    </row>
    <row r="509" ht="13" customHeight="1" s="30">
      <c r="AF509" s="16" t="n"/>
    </row>
    <row r="510" ht="13" customHeight="1" s="30">
      <c r="AF510" s="16" t="n"/>
    </row>
    <row r="511" ht="13" customHeight="1" s="30">
      <c r="AF511" s="16" t="n"/>
    </row>
    <row r="512" ht="13" customHeight="1" s="30">
      <c r="AF512" s="16" t="n"/>
    </row>
    <row r="513" ht="13" customHeight="1" s="30">
      <c r="AF513" s="16" t="n"/>
    </row>
    <row r="514" ht="13" customHeight="1" s="30">
      <c r="AF514" s="16" t="n"/>
    </row>
    <row r="515" ht="13" customHeight="1" s="30">
      <c r="AF515" s="16" t="n"/>
    </row>
    <row r="516" ht="13" customHeight="1" s="30">
      <c r="AF516" s="16" t="n"/>
    </row>
    <row r="517" ht="13" customHeight="1" s="30">
      <c r="AF517" s="16" t="n"/>
    </row>
    <row r="518" ht="13" customHeight="1" s="30">
      <c r="AF518" s="16" t="n"/>
    </row>
    <row r="519" ht="13" customHeight="1" s="30">
      <c r="AF519" s="16" t="n"/>
    </row>
    <row r="520" ht="13" customHeight="1" s="30">
      <c r="AF520" s="16" t="n"/>
    </row>
    <row r="521" ht="13" customHeight="1" s="30">
      <c r="AF521" s="16" t="n"/>
    </row>
    <row r="522" ht="13" customHeight="1" s="30">
      <c r="AF522" s="16" t="n"/>
    </row>
    <row r="523" ht="13" customHeight="1" s="30">
      <c r="AF523" s="16" t="n"/>
    </row>
    <row r="524" ht="13" customHeight="1" s="30">
      <c r="AF524" s="16" t="n"/>
    </row>
    <row r="525" ht="13" customHeight="1" s="30">
      <c r="AF525" s="16" t="n"/>
    </row>
    <row r="526" ht="13" customHeight="1" s="30">
      <c r="AF526" s="16" t="n"/>
    </row>
    <row r="527" ht="13" customHeight="1" s="30">
      <c r="AF527" s="16" t="n"/>
    </row>
    <row r="528" ht="13" customHeight="1" s="30">
      <c r="AF528" s="16" t="n"/>
    </row>
    <row r="529" ht="13" customHeight="1" s="30">
      <c r="AF529" s="16" t="n"/>
    </row>
    <row r="530" ht="13" customHeight="1" s="30">
      <c r="AF530" s="16" t="n"/>
    </row>
    <row r="531" ht="13" customHeight="1" s="30">
      <c r="AF531" s="16" t="n"/>
    </row>
    <row r="532" ht="13" customHeight="1" s="30">
      <c r="AF532" s="16" t="n"/>
    </row>
    <row r="533" ht="13" customHeight="1" s="30">
      <c r="AF533" s="16" t="n"/>
    </row>
    <row r="534" ht="13" customHeight="1" s="30">
      <c r="AF534" s="16" t="n"/>
    </row>
    <row r="535" ht="13" customHeight="1" s="30">
      <c r="AF535" s="16" t="n"/>
    </row>
    <row r="536" ht="13" customHeight="1" s="30">
      <c r="AF536" s="16" t="n"/>
    </row>
    <row r="537" ht="13" customHeight="1" s="30">
      <c r="AF537" s="16" t="n"/>
    </row>
    <row r="538" ht="13" customHeight="1" s="30">
      <c r="AF538" s="16" t="n"/>
    </row>
    <row r="539" ht="13" customHeight="1" s="30">
      <c r="AF539" s="16" t="n"/>
    </row>
    <row r="540" ht="13" customHeight="1" s="30">
      <c r="AF540" s="16" t="n"/>
    </row>
    <row r="541" ht="13" customHeight="1" s="30">
      <c r="AF541" s="16" t="n"/>
    </row>
    <row r="542" ht="13" customHeight="1" s="30">
      <c r="AF542" s="16" t="n"/>
    </row>
    <row r="543" ht="13" customHeight="1" s="30">
      <c r="AF543" s="16" t="n"/>
    </row>
    <row r="544" ht="13" customHeight="1" s="30">
      <c r="AF544" s="16" t="n"/>
    </row>
    <row r="545" ht="13" customHeight="1" s="30">
      <c r="AF545" s="16" t="n"/>
    </row>
    <row r="546" ht="13" customHeight="1" s="30">
      <c r="AF546" s="16" t="n"/>
    </row>
    <row r="547" ht="13" customHeight="1" s="30">
      <c r="AF547" s="16" t="n"/>
    </row>
    <row r="548" ht="13" customHeight="1" s="30">
      <c r="AF548" s="16" t="n"/>
    </row>
    <row r="549" ht="13" customHeight="1" s="30">
      <c r="AF549" s="16" t="n"/>
    </row>
    <row r="550" ht="13" customHeight="1" s="30">
      <c r="AF550" s="16" t="n"/>
    </row>
    <row r="551" ht="13" customHeight="1" s="30">
      <c r="AF551" s="16" t="n"/>
    </row>
    <row r="552" ht="13" customHeight="1" s="30">
      <c r="AF552" s="16" t="n"/>
    </row>
    <row r="553" ht="13" customHeight="1" s="30">
      <c r="AF553" s="16" t="n"/>
    </row>
    <row r="554" ht="13" customHeight="1" s="30">
      <c r="AF554" s="16" t="n"/>
    </row>
    <row r="555" ht="13" customHeight="1" s="30">
      <c r="AF555" s="16" t="n"/>
    </row>
    <row r="556" ht="13" customHeight="1" s="30">
      <c r="AF556" s="16" t="n"/>
    </row>
    <row r="557" ht="13" customHeight="1" s="30">
      <c r="AF557" s="16" t="n"/>
    </row>
    <row r="558" ht="13" customHeight="1" s="30">
      <c r="AF558" s="16" t="n"/>
    </row>
    <row r="559" ht="13" customHeight="1" s="30">
      <c r="AF559" s="16" t="n"/>
    </row>
    <row r="560" ht="13" customHeight="1" s="30">
      <c r="AF560" s="16" t="n"/>
    </row>
    <row r="561" ht="13" customHeight="1" s="30">
      <c r="AF561" s="16" t="n"/>
    </row>
    <row r="562" ht="13" customHeight="1" s="30">
      <c r="AF562" s="16" t="n"/>
    </row>
    <row r="563" ht="13" customHeight="1" s="30">
      <c r="AF563" s="16" t="n"/>
    </row>
    <row r="564" ht="13" customHeight="1" s="30">
      <c r="AF564" s="16" t="n"/>
    </row>
    <row r="565" ht="13" customHeight="1" s="30">
      <c r="AF565" s="16" t="n"/>
    </row>
    <row r="566" ht="13" customHeight="1" s="30">
      <c r="AF566" s="16" t="n"/>
    </row>
    <row r="567" ht="13" customHeight="1" s="30">
      <c r="AF567" s="16" t="n"/>
    </row>
    <row r="568" ht="13" customHeight="1" s="30">
      <c r="AF568" s="16" t="n"/>
    </row>
    <row r="569" ht="13" customHeight="1" s="30">
      <c r="AF569" s="16" t="n"/>
    </row>
    <row r="570" ht="13" customHeight="1" s="30">
      <c r="AF570" s="16" t="n"/>
    </row>
    <row r="571" ht="13" customHeight="1" s="30">
      <c r="AF571" s="16" t="n"/>
    </row>
    <row r="572" ht="13" customHeight="1" s="30">
      <c r="AF572" s="16" t="n"/>
    </row>
    <row r="573" ht="13" customHeight="1" s="30">
      <c r="AF573" s="16" t="n"/>
    </row>
    <row r="574" ht="13" customHeight="1" s="30">
      <c r="AF574" s="16" t="n"/>
    </row>
    <row r="575" ht="13" customHeight="1" s="30">
      <c r="AF575" s="16" t="n"/>
    </row>
    <row r="576" ht="13" customHeight="1" s="30">
      <c r="AF576" s="16" t="n"/>
    </row>
    <row r="577" ht="13" customHeight="1" s="30">
      <c r="AF577" s="16" t="n"/>
    </row>
    <row r="578" ht="13" customHeight="1" s="30">
      <c r="AF578" s="16" t="n"/>
    </row>
    <row r="579" ht="13" customHeight="1" s="30">
      <c r="AF579" s="16" t="n"/>
    </row>
    <row r="580" ht="13" customHeight="1" s="30">
      <c r="AF580" s="16" t="n"/>
    </row>
    <row r="581" ht="13" customHeight="1" s="30">
      <c r="AF581" s="16" t="n"/>
    </row>
    <row r="582" ht="13" customHeight="1" s="30">
      <c r="AF582" s="16" t="n"/>
    </row>
    <row r="583" ht="13" customHeight="1" s="30">
      <c r="AF583" s="16" t="n"/>
    </row>
    <row r="584" ht="13" customHeight="1" s="30">
      <c r="AF584" s="16" t="n"/>
    </row>
    <row r="585" ht="13" customHeight="1" s="30">
      <c r="AF585" s="16" t="n"/>
    </row>
    <row r="586" ht="13" customHeight="1" s="30">
      <c r="AF586" s="16" t="n"/>
    </row>
    <row r="587" ht="13" customHeight="1" s="30">
      <c r="AF587" s="16" t="n"/>
    </row>
    <row r="588" ht="13" customHeight="1" s="30">
      <c r="AF588" s="16" t="n"/>
    </row>
    <row r="589" ht="13" customHeight="1" s="30">
      <c r="AF589" s="16" t="n"/>
    </row>
    <row r="590" ht="13" customHeight="1" s="30">
      <c r="AF590" s="16" t="n"/>
    </row>
    <row r="591" ht="13" customHeight="1" s="30">
      <c r="AF591" s="16" t="n"/>
    </row>
    <row r="592" ht="13" customHeight="1" s="30">
      <c r="AF592" s="16" t="n"/>
    </row>
    <row r="593" ht="13" customHeight="1" s="30">
      <c r="AF593" s="16" t="n"/>
    </row>
    <row r="594" ht="13" customHeight="1" s="30">
      <c r="AF594" s="16" t="n"/>
    </row>
    <row r="595" ht="13" customHeight="1" s="30">
      <c r="AF595" s="16" t="n"/>
    </row>
    <row r="596" ht="13" customHeight="1" s="30">
      <c r="AF596" s="16" t="n"/>
    </row>
    <row r="597" ht="13" customHeight="1" s="30">
      <c r="AF597" s="16" t="n"/>
    </row>
    <row r="598" ht="13" customHeight="1" s="30">
      <c r="AF598" s="16" t="n"/>
    </row>
    <row r="599" ht="13" customHeight="1" s="30">
      <c r="AF599" s="16" t="n"/>
    </row>
    <row r="600" ht="13" customHeight="1" s="30">
      <c r="AF600" s="16" t="n"/>
    </row>
    <row r="601" ht="13" customHeight="1" s="30">
      <c r="AF601" s="16" t="n"/>
    </row>
    <row r="602" ht="13" customHeight="1" s="30">
      <c r="AF602" s="16" t="n"/>
    </row>
    <row r="603" ht="13" customHeight="1" s="30">
      <c r="AF603" s="16" t="n"/>
    </row>
    <row r="604" ht="13" customHeight="1" s="30">
      <c r="AF604" s="16" t="n"/>
    </row>
    <row r="605" ht="13" customHeight="1" s="30">
      <c r="AF605" s="16" t="n"/>
    </row>
    <row r="606" ht="13" customHeight="1" s="30">
      <c r="AF606" s="16" t="n"/>
    </row>
    <row r="607" ht="13" customHeight="1" s="30">
      <c r="AF607" s="16" t="n"/>
    </row>
    <row r="608" ht="13" customHeight="1" s="30">
      <c r="AF608" s="16" t="n"/>
    </row>
    <row r="609" ht="13" customHeight="1" s="30">
      <c r="AF609" s="16" t="n"/>
    </row>
    <row r="610" ht="13" customHeight="1" s="30">
      <c r="AF610" s="16" t="n"/>
    </row>
    <row r="611" ht="13" customHeight="1" s="30">
      <c r="AF611" s="16" t="n"/>
    </row>
    <row r="612" ht="13" customHeight="1" s="30">
      <c r="AF612" s="16" t="n"/>
    </row>
    <row r="613" ht="13" customHeight="1" s="30">
      <c r="AF613" s="16" t="n"/>
    </row>
    <row r="614" ht="13" customHeight="1" s="30">
      <c r="AF614" s="16" t="n"/>
    </row>
    <row r="615" ht="13" customHeight="1" s="30">
      <c r="AF615" s="16" t="n"/>
    </row>
    <row r="616" ht="13" customHeight="1" s="30">
      <c r="AF616" s="16" t="n"/>
    </row>
    <row r="617" ht="13" customHeight="1" s="30">
      <c r="AF617" s="16" t="n"/>
    </row>
    <row r="618" ht="13" customHeight="1" s="30">
      <c r="AF618" s="16" t="n"/>
    </row>
    <row r="619" ht="13" customHeight="1" s="30">
      <c r="AF619" s="16" t="n"/>
    </row>
    <row r="620" ht="13" customHeight="1" s="30">
      <c r="AF620" s="16" t="n"/>
    </row>
    <row r="621" ht="13" customHeight="1" s="30">
      <c r="AF621" s="16" t="n"/>
    </row>
    <row r="622" ht="13" customHeight="1" s="30">
      <c r="AF622" s="16" t="n"/>
    </row>
    <row r="623" ht="13" customHeight="1" s="30">
      <c r="AF623" s="16" t="n"/>
    </row>
    <row r="624" ht="13" customHeight="1" s="30">
      <c r="AF624" s="16" t="n"/>
    </row>
    <row r="625" ht="13" customHeight="1" s="30">
      <c r="AF625" s="16" t="n"/>
    </row>
    <row r="626" ht="13" customHeight="1" s="30">
      <c r="AF626" s="16" t="n"/>
    </row>
    <row r="627" ht="13" customHeight="1" s="30">
      <c r="AF627" s="16" t="n"/>
    </row>
    <row r="628" ht="13" customHeight="1" s="30">
      <c r="AF628" s="16" t="n"/>
    </row>
    <row r="629" ht="13" customHeight="1" s="30">
      <c r="AF629" s="16" t="n"/>
    </row>
    <row r="630" ht="13" customHeight="1" s="30">
      <c r="AF630" s="16" t="n"/>
    </row>
    <row r="631" ht="13" customHeight="1" s="30">
      <c r="AF631" s="16" t="n"/>
    </row>
    <row r="632" ht="13" customHeight="1" s="30">
      <c r="AF632" s="16" t="n"/>
    </row>
    <row r="633" ht="13" customHeight="1" s="30">
      <c r="AF633" s="16" t="n"/>
    </row>
    <row r="634" ht="13" customHeight="1" s="30">
      <c r="AF634" s="16" t="n"/>
    </row>
    <row r="635" ht="13" customHeight="1" s="30">
      <c r="AF635" s="16" t="n"/>
    </row>
    <row r="636" ht="13" customHeight="1" s="30">
      <c r="AF636" s="16" t="n"/>
    </row>
    <row r="637" ht="13" customHeight="1" s="30">
      <c r="AF637" s="16" t="n"/>
    </row>
    <row r="638" ht="13" customHeight="1" s="30">
      <c r="AF638" s="16" t="n"/>
    </row>
    <row r="639" ht="13" customHeight="1" s="30">
      <c r="AF639" s="16" t="n"/>
    </row>
    <row r="640" ht="13" customHeight="1" s="30">
      <c r="AF640" s="16" t="n"/>
    </row>
    <row r="641" ht="13" customHeight="1" s="30">
      <c r="AF641" s="16" t="n"/>
    </row>
    <row r="642" ht="13" customHeight="1" s="30">
      <c r="AF642" s="16" t="n"/>
    </row>
    <row r="643" ht="13" customHeight="1" s="30">
      <c r="AF643" s="16" t="n"/>
    </row>
    <row r="644" ht="13" customHeight="1" s="30">
      <c r="AF644" s="16" t="n"/>
    </row>
    <row r="645" ht="13" customHeight="1" s="30">
      <c r="AF645" s="16" t="n"/>
    </row>
    <row r="646" ht="13" customHeight="1" s="30">
      <c r="AF646" s="16" t="n"/>
    </row>
    <row r="647" ht="13" customHeight="1" s="30">
      <c r="AF647" s="16" t="n"/>
    </row>
    <row r="648" ht="13" customHeight="1" s="30">
      <c r="AF648" s="16" t="n"/>
    </row>
    <row r="649" ht="13" customHeight="1" s="30">
      <c r="AF649" s="16" t="n"/>
    </row>
    <row r="650" ht="13" customHeight="1" s="30">
      <c r="AF650" s="16" t="n"/>
    </row>
    <row r="651" ht="13" customHeight="1" s="30">
      <c r="AF651" s="16" t="n"/>
    </row>
    <row r="652" ht="13" customHeight="1" s="30">
      <c r="AF652" s="16" t="n"/>
    </row>
    <row r="653" ht="13" customHeight="1" s="30">
      <c r="AF653" s="16" t="n"/>
    </row>
    <row r="654" ht="13" customHeight="1" s="30">
      <c r="AF654" s="16" t="n"/>
    </row>
    <row r="655" ht="13" customHeight="1" s="30">
      <c r="AF655" s="16" t="n"/>
    </row>
    <row r="656" ht="13" customHeight="1" s="30">
      <c r="AF656" s="16" t="n"/>
    </row>
    <row r="657" ht="13" customHeight="1" s="30">
      <c r="AF657" s="16" t="n"/>
    </row>
    <row r="658" ht="13" customHeight="1" s="30">
      <c r="AF658" s="16" t="n"/>
    </row>
    <row r="659" ht="13" customHeight="1" s="30">
      <c r="AF659" s="16" t="n"/>
    </row>
    <row r="660" ht="13" customHeight="1" s="30">
      <c r="AF660" s="16" t="n"/>
    </row>
    <row r="661" ht="13" customHeight="1" s="30">
      <c r="AF661" s="16" t="n"/>
    </row>
    <row r="662" ht="13" customHeight="1" s="30">
      <c r="AF662" s="16" t="n"/>
    </row>
    <row r="663" ht="13" customHeight="1" s="30">
      <c r="AF663" s="16" t="n"/>
    </row>
    <row r="664" ht="13" customHeight="1" s="30">
      <c r="AF664" s="16" t="n"/>
    </row>
    <row r="665" ht="13" customHeight="1" s="30">
      <c r="AF665" s="16" t="n"/>
    </row>
    <row r="666" ht="13" customHeight="1" s="30">
      <c r="AF666" s="16" t="n"/>
    </row>
    <row r="667" ht="13" customHeight="1" s="30">
      <c r="AF667" s="16" t="n"/>
    </row>
    <row r="668" ht="13" customHeight="1" s="30">
      <c r="AF668" s="16" t="n"/>
    </row>
    <row r="669" ht="13" customHeight="1" s="30">
      <c r="AF669" s="16" t="n"/>
    </row>
    <row r="670" ht="13" customHeight="1" s="30">
      <c r="AF670" s="16" t="n"/>
    </row>
    <row r="671" ht="13" customHeight="1" s="30">
      <c r="AF671" s="16" t="n"/>
    </row>
    <row r="672" ht="13" customHeight="1" s="30">
      <c r="AF672" s="16" t="n"/>
    </row>
    <row r="673" ht="13" customHeight="1" s="30">
      <c r="AF673" s="16" t="n"/>
    </row>
    <row r="674" ht="13" customHeight="1" s="30">
      <c r="AF674" s="16" t="n"/>
    </row>
    <row r="675" ht="13" customHeight="1" s="30">
      <c r="AF675" s="16" t="n"/>
    </row>
    <row r="676" ht="13" customHeight="1" s="30">
      <c r="AF676" s="16" t="n"/>
    </row>
    <row r="677" ht="13" customHeight="1" s="30">
      <c r="AF677" s="16" t="n"/>
    </row>
    <row r="678" ht="13" customHeight="1" s="30">
      <c r="AF678" s="16" t="n"/>
    </row>
    <row r="679" ht="13" customHeight="1" s="30">
      <c r="AF679" s="16" t="n"/>
    </row>
    <row r="680" ht="13" customHeight="1" s="30">
      <c r="AF680" s="16" t="n"/>
    </row>
    <row r="681" ht="13" customHeight="1" s="30">
      <c r="AF681" s="16" t="n"/>
    </row>
    <row r="682" ht="13" customHeight="1" s="30">
      <c r="AF682" s="16" t="n"/>
    </row>
    <row r="683" ht="13" customHeight="1" s="30">
      <c r="AF683" s="16" t="n"/>
    </row>
    <row r="684" ht="13" customHeight="1" s="30">
      <c r="AF684" s="16" t="n"/>
    </row>
    <row r="685" ht="13" customHeight="1" s="30">
      <c r="AF685" s="16" t="n"/>
    </row>
    <row r="686" ht="13" customHeight="1" s="30">
      <c r="AF686" s="16" t="n"/>
    </row>
    <row r="687" ht="13" customHeight="1" s="30">
      <c r="AF687" s="16" t="n"/>
    </row>
    <row r="688" ht="13" customHeight="1" s="30">
      <c r="AF688" s="16" t="n"/>
    </row>
    <row r="689" ht="13" customHeight="1" s="30">
      <c r="AF689" s="16" t="n"/>
    </row>
    <row r="690" ht="13" customHeight="1" s="30">
      <c r="AF690" s="16" t="n"/>
    </row>
    <row r="691" ht="13" customHeight="1" s="30">
      <c r="AF691" s="16" t="n"/>
    </row>
    <row r="692" ht="13" customHeight="1" s="30">
      <c r="AF692" s="16" t="n"/>
    </row>
    <row r="693" ht="13" customHeight="1" s="30">
      <c r="AF693" s="16" t="n"/>
    </row>
    <row r="694" ht="13" customHeight="1" s="30">
      <c r="AF694" s="16" t="n"/>
    </row>
    <row r="695" ht="13" customHeight="1" s="30">
      <c r="AF695" s="16" t="n"/>
    </row>
    <row r="696" ht="13" customHeight="1" s="30">
      <c r="AF696" s="16" t="n"/>
    </row>
    <row r="697" ht="13" customHeight="1" s="30">
      <c r="AF697" s="16" t="n"/>
    </row>
    <row r="698" ht="13" customHeight="1" s="30">
      <c r="AF698" s="16" t="n"/>
    </row>
    <row r="699" ht="13" customHeight="1" s="30">
      <c r="AF699" s="16" t="n"/>
    </row>
    <row r="700" ht="13" customHeight="1" s="30">
      <c r="AF700" s="16" t="n"/>
    </row>
    <row r="701" ht="13" customHeight="1" s="30">
      <c r="AF701" s="16" t="n"/>
    </row>
    <row r="702" ht="13" customHeight="1" s="30">
      <c r="AF702" s="16" t="n"/>
    </row>
    <row r="703" ht="13" customHeight="1" s="30">
      <c r="AF703" s="16" t="n"/>
    </row>
    <row r="704" ht="13" customHeight="1" s="30">
      <c r="AF704" s="16" t="n"/>
    </row>
    <row r="705" ht="13" customHeight="1" s="30">
      <c r="AF705" s="16" t="n"/>
    </row>
    <row r="706" ht="13" customHeight="1" s="30">
      <c r="AF706" s="16" t="n"/>
    </row>
    <row r="707" ht="13" customHeight="1" s="30">
      <c r="AF707" s="16" t="n"/>
    </row>
    <row r="708" ht="13" customHeight="1" s="30">
      <c r="AF708" s="16" t="n"/>
    </row>
    <row r="709" ht="13" customHeight="1" s="30">
      <c r="AF709" s="16" t="n"/>
    </row>
    <row r="710" ht="13" customHeight="1" s="30">
      <c r="AF710" s="16" t="n"/>
    </row>
    <row r="711" ht="13" customHeight="1" s="30">
      <c r="AF711" s="16" t="n"/>
    </row>
    <row r="712" ht="13" customHeight="1" s="30">
      <c r="AF712" s="16" t="n"/>
    </row>
    <row r="713" ht="13" customHeight="1" s="30">
      <c r="AF713" s="16" t="n"/>
    </row>
    <row r="714" ht="13" customHeight="1" s="30">
      <c r="AF714" s="16" t="n"/>
    </row>
    <row r="715" ht="13" customHeight="1" s="30">
      <c r="AF715" s="16" t="n"/>
    </row>
    <row r="716" ht="13" customHeight="1" s="30">
      <c r="AF716" s="16" t="n"/>
    </row>
    <row r="717" ht="13" customHeight="1" s="30">
      <c r="AF717" s="16" t="n"/>
    </row>
    <row r="718" ht="13" customHeight="1" s="30">
      <c r="AF718" s="16" t="n"/>
    </row>
    <row r="719" ht="13" customHeight="1" s="30">
      <c r="AF719" s="16" t="n"/>
    </row>
    <row r="720" ht="13" customHeight="1" s="30">
      <c r="AF720" s="16" t="n"/>
    </row>
    <row r="721" ht="13" customHeight="1" s="30">
      <c r="AF721" s="16" t="n"/>
    </row>
    <row r="722" ht="13" customHeight="1" s="30">
      <c r="AF722" s="16" t="n"/>
    </row>
    <row r="723" ht="13" customHeight="1" s="30">
      <c r="AF723" s="16" t="n"/>
    </row>
    <row r="724" ht="13" customHeight="1" s="30">
      <c r="AF724" s="16" t="n"/>
    </row>
    <row r="725" ht="13" customHeight="1" s="30">
      <c r="AF725" s="16" t="n"/>
    </row>
    <row r="726" ht="13" customHeight="1" s="30">
      <c r="AF726" s="16" t="n"/>
    </row>
    <row r="727" ht="13" customHeight="1" s="30">
      <c r="AF727" s="16" t="n"/>
    </row>
    <row r="728" ht="13" customHeight="1" s="30">
      <c r="AF728" s="16" t="n"/>
    </row>
    <row r="729" ht="13" customHeight="1" s="30">
      <c r="AF729" s="16" t="n"/>
    </row>
    <row r="730" ht="13" customHeight="1" s="30">
      <c r="AF730" s="16" t="n"/>
    </row>
    <row r="731" ht="13" customHeight="1" s="30">
      <c r="AF731" s="16" t="n"/>
    </row>
    <row r="732" ht="13" customHeight="1" s="30">
      <c r="AF732" s="16" t="n"/>
    </row>
    <row r="733" ht="13" customHeight="1" s="30">
      <c r="AF733" s="16" t="n"/>
    </row>
    <row r="734" ht="13" customHeight="1" s="30">
      <c r="AF734" s="16" t="n"/>
    </row>
    <row r="735" ht="13" customHeight="1" s="30">
      <c r="AF735" s="16" t="n"/>
    </row>
    <row r="736" ht="13" customHeight="1" s="30">
      <c r="AF736" s="16" t="n"/>
    </row>
    <row r="737" ht="13" customHeight="1" s="30">
      <c r="AF737" s="16" t="n"/>
    </row>
    <row r="738" ht="13" customHeight="1" s="30">
      <c r="AF738" s="16" t="n"/>
    </row>
    <row r="739" ht="13" customHeight="1" s="30">
      <c r="AF739" s="16" t="n"/>
    </row>
    <row r="740" ht="13" customHeight="1" s="30">
      <c r="AF740" s="16" t="n"/>
    </row>
    <row r="741" ht="13" customHeight="1" s="30">
      <c r="AF741" s="16" t="n"/>
    </row>
    <row r="742" ht="13" customHeight="1" s="30">
      <c r="AF742" s="16" t="n"/>
    </row>
    <row r="743" ht="13" customHeight="1" s="30">
      <c r="AF743" s="16" t="n"/>
    </row>
    <row r="744" ht="13" customHeight="1" s="30">
      <c r="AF744" s="16" t="n"/>
    </row>
    <row r="745" ht="13" customHeight="1" s="30">
      <c r="AF745" s="16" t="n"/>
    </row>
    <row r="746" ht="13" customHeight="1" s="30">
      <c r="AF746" s="16" t="n"/>
    </row>
    <row r="747" ht="13" customHeight="1" s="30">
      <c r="AF747" s="16" t="n"/>
    </row>
    <row r="748" ht="13" customHeight="1" s="30">
      <c r="AF748" s="16" t="n"/>
    </row>
    <row r="749" ht="13" customHeight="1" s="30">
      <c r="AF749" s="16" t="n"/>
    </row>
    <row r="750" ht="13" customHeight="1" s="30">
      <c r="AF750" s="16" t="n"/>
    </row>
    <row r="751" ht="13" customHeight="1" s="30">
      <c r="AF751" s="16" t="n"/>
    </row>
    <row r="752" ht="13" customHeight="1" s="30">
      <c r="AF752" s="16" t="n"/>
    </row>
    <row r="753" ht="13" customHeight="1" s="30">
      <c r="AF753" s="16" t="n"/>
    </row>
    <row r="754" ht="13" customHeight="1" s="30">
      <c r="AF754" s="16" t="n"/>
    </row>
    <row r="755" ht="13" customHeight="1" s="30">
      <c r="AF755" s="16" t="n"/>
    </row>
    <row r="756" ht="13" customHeight="1" s="30">
      <c r="AF756" s="16" t="n"/>
    </row>
    <row r="757" ht="13" customHeight="1" s="30">
      <c r="AF757" s="16" t="n"/>
    </row>
    <row r="758" ht="13" customHeight="1" s="30">
      <c r="AF758" s="16" t="n"/>
    </row>
    <row r="759" ht="13" customHeight="1" s="30">
      <c r="AF759" s="16" t="n"/>
    </row>
    <row r="760" ht="13" customHeight="1" s="30">
      <c r="AF760" s="16" t="n"/>
    </row>
    <row r="761" ht="13" customHeight="1" s="30">
      <c r="AF761" s="16" t="n"/>
    </row>
    <row r="762" ht="13" customHeight="1" s="30">
      <c r="AF762" s="16" t="n"/>
    </row>
    <row r="763" ht="13" customHeight="1" s="30">
      <c r="AF763" s="16" t="n"/>
    </row>
    <row r="764" ht="13" customHeight="1" s="30">
      <c r="AF764" s="16" t="n"/>
    </row>
    <row r="765" ht="13" customHeight="1" s="30">
      <c r="AF765" s="16" t="n"/>
    </row>
    <row r="766" ht="13" customHeight="1" s="30">
      <c r="AF766" s="16" t="n"/>
    </row>
    <row r="767" ht="13" customHeight="1" s="30">
      <c r="AF767" s="16" t="n"/>
    </row>
    <row r="768" ht="13" customHeight="1" s="30">
      <c r="AF768" s="16" t="n"/>
    </row>
    <row r="769" ht="13" customHeight="1" s="30">
      <c r="AF769" s="16" t="n"/>
    </row>
    <row r="770" ht="13" customHeight="1" s="30">
      <c r="AF770" s="16" t="n"/>
    </row>
    <row r="771" ht="13" customHeight="1" s="30">
      <c r="AF771" s="16" t="n"/>
    </row>
    <row r="772" ht="13" customHeight="1" s="30">
      <c r="AF772" s="16" t="n"/>
    </row>
    <row r="773" ht="13" customHeight="1" s="30">
      <c r="AF773" s="16" t="n"/>
    </row>
    <row r="774" ht="13" customHeight="1" s="30">
      <c r="AF774" s="16" t="n"/>
    </row>
    <row r="775" ht="13" customHeight="1" s="30">
      <c r="AF775" s="16" t="n"/>
    </row>
    <row r="776" ht="13" customHeight="1" s="30">
      <c r="AF776" s="16" t="n"/>
    </row>
    <row r="777" ht="13" customHeight="1" s="30">
      <c r="AF777" s="16" t="n"/>
    </row>
    <row r="778" ht="13" customHeight="1" s="30">
      <c r="AF778" s="16" t="n"/>
    </row>
    <row r="779" ht="13" customHeight="1" s="30">
      <c r="AF779" s="16" t="n"/>
    </row>
    <row r="780" ht="13" customHeight="1" s="30">
      <c r="AF780" s="16" t="n"/>
    </row>
    <row r="781" ht="13" customHeight="1" s="30">
      <c r="AF781" s="16" t="n"/>
    </row>
    <row r="782" ht="13" customHeight="1" s="30">
      <c r="AF782" s="16" t="n"/>
    </row>
    <row r="783" ht="13" customHeight="1" s="30">
      <c r="AF783" s="16" t="n"/>
    </row>
    <row r="784" ht="13" customHeight="1" s="30">
      <c r="AF784" s="16" t="n"/>
    </row>
    <row r="785" ht="13" customHeight="1" s="30">
      <c r="AF785" s="16" t="n"/>
    </row>
    <row r="786" ht="13" customHeight="1" s="30">
      <c r="AF786" s="16" t="n"/>
    </row>
    <row r="787" ht="13" customHeight="1" s="30">
      <c r="AF787" s="16" t="n"/>
    </row>
    <row r="788" ht="13" customHeight="1" s="30">
      <c r="AF788" s="16" t="n"/>
    </row>
    <row r="789" ht="13" customHeight="1" s="30">
      <c r="AF789" s="16" t="n"/>
    </row>
    <row r="790" ht="13" customHeight="1" s="30">
      <c r="AF790" s="16" t="n"/>
    </row>
    <row r="791" ht="13" customHeight="1" s="30">
      <c r="AF791" s="16" t="n"/>
    </row>
    <row r="792" ht="13" customHeight="1" s="30">
      <c r="AF792" s="16" t="n"/>
    </row>
    <row r="793" ht="13" customHeight="1" s="30">
      <c r="AF793" s="16" t="n"/>
    </row>
    <row r="794" ht="13" customHeight="1" s="30">
      <c r="AF794" s="16" t="n"/>
    </row>
    <row r="795" ht="13" customHeight="1" s="30">
      <c r="AF795" s="16" t="n"/>
    </row>
    <row r="796" ht="13" customHeight="1" s="30">
      <c r="AF796" s="16" t="n"/>
    </row>
    <row r="797" ht="13" customHeight="1" s="30">
      <c r="AF797" s="16" t="n"/>
    </row>
    <row r="798" ht="13" customHeight="1" s="30">
      <c r="AF798" s="16" t="n"/>
    </row>
    <row r="799" ht="13" customHeight="1" s="30">
      <c r="AF799" s="16" t="n"/>
    </row>
    <row r="800" ht="13" customHeight="1" s="30">
      <c r="AF800" s="16" t="n"/>
    </row>
    <row r="801" ht="13" customHeight="1" s="30">
      <c r="AF801" s="16" t="n"/>
    </row>
    <row r="802" ht="13" customHeight="1" s="30">
      <c r="AF802" s="16" t="n"/>
    </row>
    <row r="803" ht="13" customHeight="1" s="30">
      <c r="AF803" s="16" t="n"/>
    </row>
    <row r="804" ht="13" customHeight="1" s="30">
      <c r="AF804" s="16" t="n"/>
    </row>
    <row r="805" ht="13" customHeight="1" s="30">
      <c r="AF805" s="16" t="n"/>
    </row>
    <row r="806" ht="13" customHeight="1" s="30">
      <c r="AF806" s="16" t="n"/>
    </row>
    <row r="807" ht="13" customHeight="1" s="30">
      <c r="AF807" s="16" t="n"/>
    </row>
    <row r="808" ht="13" customHeight="1" s="30">
      <c r="AF808" s="16" t="n"/>
    </row>
    <row r="809" ht="13" customHeight="1" s="30">
      <c r="AF809" s="16" t="n"/>
    </row>
    <row r="810" ht="13" customHeight="1" s="30">
      <c r="AF810" s="16" t="n"/>
    </row>
    <row r="811" ht="13" customHeight="1" s="30">
      <c r="AF811" s="16" t="n"/>
    </row>
    <row r="812" ht="13" customHeight="1" s="30">
      <c r="AF812" s="16" t="n"/>
    </row>
    <row r="813" ht="13" customHeight="1" s="30">
      <c r="AF813" s="16" t="n"/>
    </row>
    <row r="814" ht="13" customHeight="1" s="30">
      <c r="AF814" s="16" t="n"/>
    </row>
    <row r="815" ht="13" customHeight="1" s="30">
      <c r="AF815" s="16" t="n"/>
    </row>
    <row r="816" ht="13" customHeight="1" s="30">
      <c r="AF816" s="16" t="n"/>
    </row>
    <row r="817" ht="13" customHeight="1" s="30">
      <c r="AF817" s="16" t="n"/>
    </row>
    <row r="818" ht="13" customHeight="1" s="30">
      <c r="AF818" s="16" t="n"/>
    </row>
    <row r="819" ht="13" customHeight="1" s="30">
      <c r="AF819" s="16" t="n"/>
    </row>
    <row r="820" ht="13" customHeight="1" s="30">
      <c r="AF820" s="16" t="n"/>
    </row>
    <row r="821" ht="13" customHeight="1" s="30">
      <c r="AF821" s="16" t="n"/>
    </row>
    <row r="822" ht="13" customHeight="1" s="30">
      <c r="AF822" s="16" t="n"/>
    </row>
    <row r="823" ht="13" customHeight="1" s="30">
      <c r="AF823" s="16" t="n"/>
    </row>
    <row r="824" ht="13" customHeight="1" s="30">
      <c r="AF824" s="16" t="n"/>
    </row>
    <row r="825" ht="13" customHeight="1" s="30">
      <c r="AF825" s="16" t="n"/>
    </row>
    <row r="826" ht="13" customHeight="1" s="30">
      <c r="AF826" s="16" t="n"/>
    </row>
    <row r="827" ht="13" customHeight="1" s="30">
      <c r="AF827" s="16" t="n"/>
    </row>
    <row r="828" ht="13" customHeight="1" s="30">
      <c r="AF828" s="16" t="n"/>
    </row>
    <row r="829" ht="13" customHeight="1" s="30">
      <c r="AF829" s="16" t="n"/>
    </row>
    <row r="830" ht="13" customHeight="1" s="30">
      <c r="AF830" s="16" t="n"/>
    </row>
    <row r="831" ht="13" customHeight="1" s="30">
      <c r="AF831" s="16" t="n"/>
    </row>
    <row r="832" ht="13" customHeight="1" s="30">
      <c r="AF832" s="16" t="n"/>
    </row>
    <row r="833" ht="13" customHeight="1" s="30">
      <c r="AF833" s="16" t="n"/>
    </row>
    <row r="834" ht="13" customHeight="1" s="30">
      <c r="AF834" s="16" t="n"/>
    </row>
    <row r="835" ht="13" customHeight="1" s="30">
      <c r="AF835" s="16" t="n"/>
    </row>
    <row r="836" ht="13" customHeight="1" s="30">
      <c r="AF836" s="16" t="n"/>
    </row>
    <row r="837" ht="13" customHeight="1" s="30">
      <c r="AF837" s="16" t="n"/>
    </row>
    <row r="838" ht="13" customHeight="1" s="30">
      <c r="AF838" s="16" t="n"/>
    </row>
    <row r="839" ht="13" customHeight="1" s="30">
      <c r="AF839" s="16" t="n"/>
    </row>
    <row r="840" ht="13" customHeight="1" s="30">
      <c r="AF840" s="16" t="n"/>
    </row>
    <row r="841" ht="13" customHeight="1" s="30">
      <c r="AF841" s="16" t="n"/>
    </row>
    <row r="842" ht="13" customHeight="1" s="30">
      <c r="AF842" s="16" t="n"/>
    </row>
    <row r="843" ht="13" customHeight="1" s="30">
      <c r="AF843" s="16" t="n"/>
    </row>
    <row r="844" ht="13" customHeight="1" s="30">
      <c r="AF844" s="16" t="n"/>
    </row>
    <row r="845" ht="13" customHeight="1" s="30">
      <c r="AF845" s="16" t="n"/>
    </row>
    <row r="846" ht="13" customHeight="1" s="30">
      <c r="AF846" s="16" t="n"/>
    </row>
    <row r="847" ht="13" customHeight="1" s="30">
      <c r="AF847" s="16" t="n"/>
    </row>
    <row r="848" ht="13" customHeight="1" s="30">
      <c r="AF848" s="16" t="n"/>
    </row>
    <row r="849" ht="13" customHeight="1" s="30">
      <c r="AF849" s="16" t="n"/>
    </row>
    <row r="850" ht="13" customHeight="1" s="30">
      <c r="AF850" s="16" t="n"/>
    </row>
    <row r="851" ht="13" customHeight="1" s="30">
      <c r="AF851" s="16" t="n"/>
    </row>
    <row r="852" ht="13" customHeight="1" s="30">
      <c r="AF852" s="16" t="n"/>
    </row>
    <row r="853" ht="13" customHeight="1" s="30">
      <c r="AF853" s="16" t="n"/>
    </row>
    <row r="854" ht="13" customHeight="1" s="30">
      <c r="AF854" s="16" t="n"/>
    </row>
    <row r="855" ht="13" customHeight="1" s="30">
      <c r="AF855" s="16" t="n"/>
    </row>
    <row r="856" ht="13" customHeight="1" s="30">
      <c r="AF856" s="16" t="n"/>
    </row>
    <row r="857" ht="13" customHeight="1" s="30">
      <c r="AF857" s="16" t="n"/>
    </row>
    <row r="858" ht="13" customHeight="1" s="30">
      <c r="AF858" s="16" t="n"/>
    </row>
    <row r="859" ht="13" customHeight="1" s="30">
      <c r="AF859" s="16" t="n"/>
    </row>
    <row r="860" ht="13" customHeight="1" s="30">
      <c r="AF860" s="16" t="n"/>
    </row>
    <row r="861" ht="13" customHeight="1" s="30">
      <c r="AF861" s="16" t="n"/>
    </row>
    <row r="862" ht="13" customHeight="1" s="30">
      <c r="AF862" s="16" t="n"/>
    </row>
    <row r="863" ht="13" customHeight="1" s="30">
      <c r="AF863" s="16" t="n"/>
    </row>
    <row r="864" ht="13" customHeight="1" s="30">
      <c r="AF864" s="16" t="n"/>
    </row>
    <row r="865" ht="13" customHeight="1" s="30">
      <c r="AF865" s="16" t="n"/>
    </row>
    <row r="866" ht="13" customHeight="1" s="30">
      <c r="AF866" s="16" t="n"/>
    </row>
    <row r="867" ht="13" customHeight="1" s="30">
      <c r="AF867" s="16" t="n"/>
    </row>
    <row r="868" ht="13" customHeight="1" s="30">
      <c r="AF868" s="16" t="n"/>
    </row>
    <row r="869" ht="13" customHeight="1" s="30">
      <c r="AF869" s="16" t="n"/>
    </row>
    <row r="870" ht="13" customHeight="1" s="30">
      <c r="AF870" s="16" t="n"/>
    </row>
    <row r="871" ht="13" customHeight="1" s="30">
      <c r="AF871" s="16" t="n"/>
    </row>
    <row r="872" ht="13" customHeight="1" s="30">
      <c r="AF872" s="16" t="n"/>
    </row>
    <row r="873" ht="13" customHeight="1" s="30">
      <c r="AF873" s="16" t="n"/>
    </row>
    <row r="874" ht="13" customHeight="1" s="30">
      <c r="AF874" s="16" t="n"/>
    </row>
    <row r="875" ht="13" customHeight="1" s="30">
      <c r="AF875" s="16" t="n"/>
    </row>
    <row r="876" ht="13" customHeight="1" s="30">
      <c r="AF876" s="16" t="n"/>
    </row>
    <row r="877" ht="13" customHeight="1" s="30">
      <c r="AF877" s="16" t="n"/>
    </row>
    <row r="878" ht="13" customHeight="1" s="30">
      <c r="AF878" s="16" t="n"/>
    </row>
    <row r="879" ht="13" customHeight="1" s="30">
      <c r="AF879" s="16" t="n"/>
    </row>
    <row r="880" ht="13" customHeight="1" s="30">
      <c r="AF880" s="16" t="n"/>
    </row>
    <row r="881" ht="13" customHeight="1" s="30">
      <c r="AF881" s="16" t="n"/>
    </row>
    <row r="882" ht="13" customHeight="1" s="30">
      <c r="AF882" s="16" t="n"/>
    </row>
    <row r="883" ht="13" customHeight="1" s="30">
      <c r="AF883" s="16" t="n"/>
    </row>
    <row r="884" ht="13" customHeight="1" s="30">
      <c r="AF884" s="16" t="n"/>
    </row>
    <row r="885" ht="13" customHeight="1" s="30">
      <c r="AF885" s="16" t="n"/>
    </row>
    <row r="886" ht="13" customHeight="1" s="30">
      <c r="AF886" s="16" t="n"/>
    </row>
    <row r="887" ht="13" customHeight="1" s="30">
      <c r="AF887" s="16" t="n"/>
    </row>
    <row r="888" ht="13" customHeight="1" s="30">
      <c r="AF888" s="16" t="n"/>
    </row>
    <row r="889" ht="13" customHeight="1" s="30">
      <c r="AF889" s="16" t="n"/>
    </row>
    <row r="890" ht="13" customHeight="1" s="30">
      <c r="AF890" s="16" t="n"/>
    </row>
    <row r="891" ht="13" customHeight="1" s="30">
      <c r="AF891" s="16" t="n"/>
    </row>
    <row r="892" ht="13" customHeight="1" s="30">
      <c r="AF892" s="16" t="n"/>
    </row>
    <row r="893" ht="13" customHeight="1" s="30">
      <c r="AF893" s="16" t="n"/>
    </row>
    <row r="894" ht="13" customHeight="1" s="30">
      <c r="AF894" s="16" t="n"/>
    </row>
    <row r="895" ht="13" customHeight="1" s="30">
      <c r="AF895" s="16" t="n"/>
    </row>
    <row r="896" ht="13" customHeight="1" s="30">
      <c r="AF896" s="16" t="n"/>
    </row>
    <row r="897" ht="13" customHeight="1" s="30">
      <c r="AF897" s="16" t="n"/>
    </row>
    <row r="898" ht="13" customHeight="1" s="30">
      <c r="AF898" s="16" t="n"/>
    </row>
    <row r="899" ht="13" customHeight="1" s="30">
      <c r="AF899" s="16" t="n"/>
    </row>
    <row r="900" ht="13" customHeight="1" s="30">
      <c r="AF900" s="16" t="n"/>
    </row>
    <row r="901" ht="13" customHeight="1" s="30">
      <c r="AF901" s="16" t="n"/>
    </row>
    <row r="902" ht="13" customHeight="1" s="30">
      <c r="AF902" s="16" t="n"/>
    </row>
    <row r="903" ht="13" customHeight="1" s="30">
      <c r="AF903" s="16" t="n"/>
    </row>
    <row r="904" ht="13" customHeight="1" s="30">
      <c r="AF904" s="16" t="n"/>
    </row>
    <row r="905" ht="13" customHeight="1" s="30">
      <c r="AF905" s="16" t="n"/>
    </row>
    <row r="906" ht="13" customHeight="1" s="30">
      <c r="AF906" s="16" t="n"/>
    </row>
    <row r="907" ht="13" customHeight="1" s="30">
      <c r="AF907" s="16" t="n"/>
    </row>
    <row r="908" ht="13" customHeight="1" s="30">
      <c r="AF908" s="16" t="n"/>
    </row>
    <row r="909" ht="13" customHeight="1" s="30">
      <c r="AF909" s="16" t="n"/>
    </row>
    <row r="910" ht="13" customHeight="1" s="30">
      <c r="AF910" s="16" t="n"/>
    </row>
    <row r="911" ht="13" customHeight="1" s="30">
      <c r="AF911" s="16" t="n"/>
    </row>
    <row r="912" ht="13" customHeight="1" s="30">
      <c r="AF912" s="16" t="n"/>
    </row>
    <row r="913" ht="13" customHeight="1" s="30">
      <c r="AF913" s="16" t="n"/>
    </row>
    <row r="914" ht="13" customHeight="1" s="30">
      <c r="AF914" s="16" t="n"/>
    </row>
    <row r="915" ht="13" customHeight="1" s="30">
      <c r="AF915" s="16" t="n"/>
    </row>
    <row r="916" ht="13" customHeight="1" s="30">
      <c r="AF916" s="16" t="n"/>
    </row>
    <row r="917" ht="13" customHeight="1" s="30">
      <c r="AF917" s="16" t="n"/>
    </row>
    <row r="918" ht="13" customHeight="1" s="30">
      <c r="AF918" s="16" t="n"/>
    </row>
    <row r="919" ht="13" customHeight="1" s="30">
      <c r="AF919" s="16" t="n"/>
    </row>
    <row r="920" ht="13" customHeight="1" s="30">
      <c r="AF920" s="16" t="n"/>
    </row>
    <row r="921" ht="13" customHeight="1" s="30">
      <c r="AF921" s="16" t="n"/>
    </row>
    <row r="922" ht="13" customHeight="1" s="30">
      <c r="AF922" s="16" t="n"/>
    </row>
    <row r="923" ht="13" customHeight="1" s="30">
      <c r="AF923" s="16" t="n"/>
    </row>
    <row r="924" ht="13" customHeight="1" s="30">
      <c r="AF924" s="16" t="n"/>
    </row>
    <row r="925" ht="13" customHeight="1" s="30">
      <c r="AF925" s="16" t="n"/>
    </row>
    <row r="926" ht="13" customHeight="1" s="30">
      <c r="AF926" s="16" t="n"/>
    </row>
    <row r="927" ht="13" customHeight="1" s="30">
      <c r="AF927" s="16" t="n"/>
    </row>
    <row r="928" ht="13" customHeight="1" s="30">
      <c r="AF928" s="16" t="n"/>
    </row>
    <row r="929" ht="13" customHeight="1" s="30">
      <c r="AF929" s="16" t="n"/>
    </row>
    <row r="930" ht="13" customHeight="1" s="30">
      <c r="AF930" s="16" t="n"/>
    </row>
    <row r="931" ht="13" customHeight="1" s="30">
      <c r="AF931" s="16" t="n"/>
    </row>
    <row r="932" ht="13" customHeight="1" s="30">
      <c r="AF932" s="16" t="n"/>
    </row>
    <row r="933" ht="13" customHeight="1" s="30">
      <c r="AF933" s="16" t="n"/>
    </row>
    <row r="934" ht="13" customHeight="1" s="30">
      <c r="AF934" s="16" t="n"/>
    </row>
    <row r="935" ht="13" customHeight="1" s="30">
      <c r="AF935" s="16" t="n"/>
    </row>
    <row r="936" ht="13" customHeight="1" s="30">
      <c r="AF936" s="16" t="n"/>
    </row>
    <row r="937" ht="13" customHeight="1" s="30">
      <c r="AF937" s="16" t="n"/>
    </row>
    <row r="938" ht="13" customHeight="1" s="30">
      <c r="AF938" s="16" t="n"/>
    </row>
    <row r="939" ht="13" customHeight="1" s="30">
      <c r="AF939" s="16" t="n"/>
    </row>
    <row r="940" ht="13" customHeight="1" s="30">
      <c r="AF940" s="16" t="n"/>
    </row>
    <row r="941" ht="13" customHeight="1" s="30">
      <c r="AF941" s="16" t="n"/>
    </row>
    <row r="942" ht="13" customHeight="1" s="30">
      <c r="AF942" s="16" t="n"/>
    </row>
    <row r="943" ht="13" customHeight="1" s="30">
      <c r="AF943" s="16" t="n"/>
    </row>
    <row r="944" ht="13" customHeight="1" s="30">
      <c r="AF944" s="16" t="n"/>
    </row>
    <row r="945" ht="13" customHeight="1" s="30">
      <c r="AF945" s="16" t="n"/>
    </row>
    <row r="946" ht="13" customHeight="1" s="30">
      <c r="AF946" s="16" t="n"/>
    </row>
    <row r="947" ht="13" customHeight="1" s="30">
      <c r="AF947" s="16" t="n"/>
    </row>
    <row r="948" ht="13" customHeight="1" s="30">
      <c r="AF948" s="16" t="n"/>
    </row>
    <row r="949" ht="13" customHeight="1" s="30">
      <c r="AF949" s="16" t="n"/>
    </row>
    <row r="950" ht="13" customHeight="1" s="30">
      <c r="AF950" s="16" t="n"/>
    </row>
    <row r="951" ht="13" customHeight="1" s="30">
      <c r="AF951" s="16" t="n"/>
    </row>
    <row r="952" ht="13" customHeight="1" s="30">
      <c r="AF952" s="16" t="n"/>
    </row>
    <row r="953" ht="13" customHeight="1" s="30">
      <c r="AF953" s="16" t="n"/>
    </row>
    <row r="954" ht="13" customHeight="1" s="30">
      <c r="AF954" s="16" t="n"/>
    </row>
    <row r="955" ht="13" customHeight="1" s="30">
      <c r="AF955" s="16" t="n"/>
    </row>
    <row r="956" ht="13" customHeight="1" s="30">
      <c r="AF956" s="16" t="n"/>
    </row>
    <row r="957" ht="13" customHeight="1" s="30">
      <c r="AF957" s="16" t="n"/>
    </row>
    <row r="958" ht="13" customHeight="1" s="30">
      <c r="AF958" s="16" t="n"/>
    </row>
    <row r="959" ht="13" customHeight="1" s="30">
      <c r="AF959" s="16" t="n"/>
    </row>
    <row r="960" ht="13" customHeight="1" s="30">
      <c r="AF960" s="16" t="n"/>
    </row>
    <row r="961" ht="13" customHeight="1" s="30">
      <c r="AF961" s="16" t="n"/>
    </row>
    <row r="962" ht="13" customHeight="1" s="30">
      <c r="AF962" s="16" t="n"/>
    </row>
    <row r="963" ht="13" customHeight="1" s="30">
      <c r="AF963" s="16" t="n"/>
    </row>
    <row r="964" ht="13" customHeight="1" s="30">
      <c r="AF964" s="16" t="n"/>
    </row>
    <row r="965" ht="13" customHeight="1" s="30">
      <c r="AF965" s="16" t="n"/>
    </row>
    <row r="966" ht="13" customHeight="1" s="30">
      <c r="AF966" s="16" t="n"/>
    </row>
    <row r="967" ht="13" customHeight="1" s="30">
      <c r="AF967" s="16" t="n"/>
    </row>
    <row r="968" ht="13" customHeight="1" s="30">
      <c r="AF968" s="16" t="n"/>
    </row>
    <row r="969" ht="13" customHeight="1" s="30">
      <c r="AF969" s="16" t="n"/>
    </row>
    <row r="970" ht="13" customHeight="1" s="30">
      <c r="AF970" s="16" t="n"/>
    </row>
    <row r="971" ht="13" customHeight="1" s="30">
      <c r="AF971" s="16" t="n"/>
    </row>
    <row r="972" ht="13" customHeight="1" s="30">
      <c r="AF972" s="16" t="n"/>
    </row>
    <row r="973" ht="13" customHeight="1" s="30">
      <c r="AF973" s="16" t="n"/>
    </row>
    <row r="974" ht="13" customHeight="1" s="30">
      <c r="AF974" s="16" t="n"/>
    </row>
    <row r="975" ht="13" customHeight="1" s="30">
      <c r="AF975" s="16" t="n"/>
    </row>
    <row r="976" ht="13" customHeight="1" s="30">
      <c r="AF976" s="16" t="n"/>
    </row>
    <row r="977" ht="13" customHeight="1" s="30">
      <c r="AF977" s="16" t="n"/>
    </row>
    <row r="978" ht="13" customHeight="1" s="30">
      <c r="AF978" s="16" t="n"/>
    </row>
    <row r="979" ht="13" customHeight="1" s="30">
      <c r="AF979" s="16" t="n"/>
    </row>
    <row r="980" ht="13" customHeight="1" s="30">
      <c r="AF980" s="16" t="n"/>
    </row>
    <row r="981" ht="13" customHeight="1" s="30">
      <c r="AF981" s="16" t="n"/>
    </row>
  </sheetData>
  <mergeCells count="1">
    <mergeCell ref="AD1:AE1"/>
  </mergeCells>
  <conditionalFormatting sqref="B3:B14">
    <cfRule type="colorScale" priority="6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C3:C14">
    <cfRule type="colorScale" priority="7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D3:D14">
    <cfRule type="colorScale" priority="8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E3:AE12">
    <cfRule type="expression" priority="4" dxfId="5">
      <formula>E3=E$15/3</formula>
    </cfRule>
    <cfRule type="expression" priority="5" dxfId="0">
      <formula>E3=2*E$15/3</formula>
    </cfRule>
    <cfRule type="expression" priority="1" dxfId="4">
      <formula>E3=E$15</formula>
    </cfRule>
    <cfRule type="expression" priority="3" dxfId="8">
      <formula>E3=E$15/2</formula>
    </cfRule>
    <cfRule type="expression" priority="2" dxfId="1">
      <formula>E3=""</formula>
    </cfRule>
    <cfRule type="expression" priority="9" dxfId="3">
      <formula>E3=0</formula>
    </cfRule>
  </conditionalFormatting>
  <conditionalFormatting sqref="E16:AE16">
    <cfRule type="colorScale" priority="10">
      <colorScale>
        <cfvo type="formula" val="0"/>
        <cfvo type="percent" val="50"/>
        <cfvo type="max"/>
        <color rgb="FFFFA49C"/>
        <color rgb="FFFFE79C"/>
        <color rgb="FFB0E9C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981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26" sqref="C26"/>
    </sheetView>
  </sheetViews>
  <sheetFormatPr baseColWidth="10" defaultColWidth="12.6640625" defaultRowHeight="15.75" customHeight="1"/>
  <cols>
    <col width="19.1640625" customWidth="1" style="30" min="1" max="1"/>
    <col width="4.6640625" customWidth="1" style="30" min="2" max="3"/>
    <col width="4.83203125" customWidth="1" style="30" min="4" max="4"/>
    <col width="3.1640625" customWidth="1" style="30" min="5" max="31"/>
    <col width="4" customWidth="1" style="30" min="32" max="32"/>
  </cols>
  <sheetData>
    <row r="1" ht="15.75" customHeight="1" s="30">
      <c r="A1" s="9">
        <f>CELL("sheet",A1)</f>
        <v/>
      </c>
      <c r="B1" s="2" t="inlineStr">
        <is>
          <t>Σ</t>
        </is>
      </c>
      <c r="C1" s="3" t="inlineStr">
        <is>
          <t>1 ч.</t>
        </is>
      </c>
      <c r="D1" s="2" t="inlineStr">
        <is>
          <t>2 ч.</t>
        </is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  <c r="O1" s="2" t="n">
        <v>11</v>
      </c>
      <c r="P1" s="2" t="n">
        <v>12</v>
      </c>
      <c r="Q1" s="2" t="n">
        <v>13</v>
      </c>
      <c r="R1" s="2" t="n">
        <v>14</v>
      </c>
      <c r="S1" s="2" t="n">
        <v>15</v>
      </c>
      <c r="T1" s="2" t="n">
        <v>16</v>
      </c>
      <c r="U1" s="2" t="n">
        <v>17</v>
      </c>
      <c r="V1" s="2" t="n">
        <v>18</v>
      </c>
      <c r="W1" s="2" t="n">
        <v>19</v>
      </c>
      <c r="X1" s="2" t="n">
        <v>20</v>
      </c>
      <c r="Y1" s="3" t="n">
        <v>21</v>
      </c>
      <c r="Z1" s="2" t="n">
        <v>22</v>
      </c>
      <c r="AA1" s="2" t="n">
        <v>23</v>
      </c>
      <c r="AB1" s="2" t="n">
        <v>24</v>
      </c>
      <c r="AC1" s="2" t="n">
        <v>25</v>
      </c>
      <c r="AD1" s="31" t="n">
        <v>26</v>
      </c>
      <c r="AF1" s="10" t="n"/>
    </row>
    <row r="2" ht="15.75" customHeight="1" s="30">
      <c r="A2" s="9" t="n"/>
      <c r="C2" s="3" t="n"/>
      <c r="D2" s="2" t="n"/>
      <c r="Y2" s="3" t="n"/>
      <c r="AD2" s="2" t="inlineStr">
        <is>
          <t>К2</t>
        </is>
      </c>
      <c r="AE2" s="2" t="inlineStr">
        <is>
          <t>К1</t>
        </is>
      </c>
      <c r="AF2" s="10" t="n"/>
    </row>
    <row r="3" ht="15.75" customHeight="1" s="30">
      <c r="A3" s="1" t="inlineStr">
        <is>
          <t>Аксененко Александр</t>
        </is>
      </c>
      <c r="B3" s="31">
        <f>IF(COUNTA(E3:AE3)&gt;0,C3+D3,"-")</f>
        <v/>
      </c>
      <c r="C3" s="5">
        <f>IF(COUNTA(E3:AE3)&gt;0,SUM(E3:X3),"-")</f>
        <v/>
      </c>
      <c r="D3" s="31">
        <f>IF(COUNTA(E3:AE3)&gt;0,SUM(Y3:AE3),"-")</f>
        <v/>
      </c>
      <c r="E3" s="31" t="n">
        <v>0</v>
      </c>
      <c r="F3" s="31" t="n">
        <v>1</v>
      </c>
      <c r="G3" s="31" t="n">
        <v>1</v>
      </c>
      <c r="H3" s="31" t="n">
        <v>1</v>
      </c>
      <c r="I3" s="31" t="n">
        <v>2</v>
      </c>
      <c r="J3" s="31" t="n">
        <v>2</v>
      </c>
      <c r="K3" s="31" t="n">
        <v>1</v>
      </c>
      <c r="L3" s="31" t="n">
        <v>1</v>
      </c>
      <c r="M3" s="31" t="n">
        <v>2</v>
      </c>
      <c r="N3" s="31" t="n">
        <v>2</v>
      </c>
      <c r="O3" s="31" t="n">
        <v>0</v>
      </c>
      <c r="P3" s="31" t="n">
        <v>1</v>
      </c>
      <c r="Q3" s="31" t="n">
        <v>1</v>
      </c>
      <c r="R3" s="31" t="n">
        <v>2</v>
      </c>
      <c r="S3" s="31" t="n">
        <v>2</v>
      </c>
      <c r="T3" s="31" t="n">
        <v>1</v>
      </c>
      <c r="U3" s="31" t="n">
        <v>2</v>
      </c>
      <c r="V3" s="31" t="n">
        <v>2</v>
      </c>
      <c r="W3" s="31" t="n">
        <v>1</v>
      </c>
      <c r="X3" s="31" t="n">
        <v>1</v>
      </c>
      <c r="Y3" s="5" t="n">
        <v>0</v>
      </c>
      <c r="Z3" s="31" t="n">
        <v>2</v>
      </c>
      <c r="AA3" s="31" t="n">
        <v>2</v>
      </c>
      <c r="AB3" s="31" t="n">
        <v>3</v>
      </c>
      <c r="AC3" s="31" t="n">
        <v>3</v>
      </c>
      <c r="AD3" s="31" t="n">
        <v>3</v>
      </c>
      <c r="AE3" s="31" t="n">
        <v>1</v>
      </c>
      <c r="AF3" s="12" t="inlineStr">
        <is>
          <t>🏠</t>
        </is>
      </c>
    </row>
    <row r="4" ht="15.75" customHeight="1" s="30">
      <c r="A4" s="1" t="inlineStr">
        <is>
          <t>Андрианова Елизавета</t>
        </is>
      </c>
      <c r="B4" s="31">
        <f>IF(COUNTA(E4:AE4)&gt;0,C4+D4,"-")</f>
        <v/>
      </c>
      <c r="C4" s="5">
        <f>IF(COUNTA(E4:AE4)&gt;0,SUM(E4:X4),"-")</f>
        <v/>
      </c>
      <c r="D4" s="31">
        <f>IF(COUNTA(E4:AE4)&gt;0,SUM(Y4:AE4),"-")</f>
        <v/>
      </c>
      <c r="E4" s="31" t="n">
        <v>1</v>
      </c>
      <c r="F4" s="31" t="n">
        <v>0</v>
      </c>
      <c r="G4" s="31" t="n">
        <v>0</v>
      </c>
      <c r="H4" s="31" t="n">
        <v>0</v>
      </c>
      <c r="I4" s="31" t="n">
        <v>0</v>
      </c>
      <c r="J4" s="31" t="n">
        <v>0</v>
      </c>
      <c r="K4" s="31" t="n">
        <v>0</v>
      </c>
      <c r="L4" s="31" t="n">
        <v>0</v>
      </c>
      <c r="M4" s="31" t="n">
        <v>0</v>
      </c>
      <c r="N4" s="31" t="n">
        <v>0</v>
      </c>
      <c r="O4" s="31" t="n">
        <v>0</v>
      </c>
      <c r="P4" s="31" t="n">
        <v>0</v>
      </c>
      <c r="Q4" s="31" t="n">
        <v>0</v>
      </c>
      <c r="R4" s="31" t="n">
        <v>0</v>
      </c>
      <c r="S4" s="31" t="n">
        <v>0</v>
      </c>
      <c r="T4" s="31" t="n">
        <v>0</v>
      </c>
      <c r="U4" s="31" t="n">
        <v>0</v>
      </c>
      <c r="V4" s="31" t="n">
        <v>0</v>
      </c>
      <c r="W4" s="31" t="n">
        <v>0</v>
      </c>
      <c r="X4" s="31" t="n">
        <v>0</v>
      </c>
      <c r="Y4" s="5" t="n">
        <v>3</v>
      </c>
      <c r="Z4" s="31" t="n">
        <v>0</v>
      </c>
      <c r="AA4" s="31" t="n">
        <v>2</v>
      </c>
      <c r="AB4" s="31" t="n">
        <v>3</v>
      </c>
      <c r="AC4" s="31" t="n">
        <v>3</v>
      </c>
      <c r="AD4" s="31" t="n">
        <v>3</v>
      </c>
      <c r="AE4" s="31" t="n">
        <v>1</v>
      </c>
      <c r="AF4" s="13" t="n"/>
    </row>
    <row r="5" ht="15.75" customHeight="1" s="30">
      <c r="A5" s="1" t="inlineStr">
        <is>
          <t>Зотов Иван</t>
        </is>
      </c>
      <c r="B5" s="31">
        <f>IF(COUNTA(E5:AE5)&gt;0,C5+D5,"-")</f>
        <v/>
      </c>
      <c r="C5" s="5">
        <f>IF(COUNTA(E5:AE5)&gt;0,SUM(E5:X5),"-")</f>
        <v/>
      </c>
      <c r="D5" s="31">
        <f>IF(COUNTA(E5:AE5)&gt;0,SUM(Y5:AE5),"-")</f>
        <v/>
      </c>
      <c r="E5" s="31" t="n">
        <v>1</v>
      </c>
      <c r="F5" s="31" t="n">
        <v>1</v>
      </c>
      <c r="G5" s="31" t="n">
        <v>0</v>
      </c>
      <c r="H5" s="31" t="n">
        <v>1</v>
      </c>
      <c r="I5" s="31" t="n">
        <v>2</v>
      </c>
      <c r="J5" s="31" t="n">
        <v>2</v>
      </c>
      <c r="K5" s="31" t="n">
        <v>1</v>
      </c>
      <c r="L5" s="31" t="n">
        <v>1</v>
      </c>
      <c r="M5" s="31" t="n">
        <v>2</v>
      </c>
      <c r="N5" s="31" t="n">
        <v>2</v>
      </c>
      <c r="O5" s="31" t="n">
        <v>1</v>
      </c>
      <c r="P5" s="31" t="n">
        <v>1</v>
      </c>
      <c r="Q5" s="31" t="n">
        <v>0</v>
      </c>
      <c r="R5" s="31" t="n">
        <v>2</v>
      </c>
      <c r="S5" s="31" t="n">
        <v>2</v>
      </c>
      <c r="T5" s="31" t="n">
        <v>1</v>
      </c>
      <c r="U5" s="31" t="n">
        <v>2</v>
      </c>
      <c r="V5" s="31" t="n">
        <v>2</v>
      </c>
      <c r="W5" s="31" t="n">
        <v>1</v>
      </c>
      <c r="X5" s="31" t="n">
        <v>1</v>
      </c>
      <c r="Y5" s="5" t="n">
        <v>3</v>
      </c>
      <c r="Z5" s="31" t="n">
        <v>2</v>
      </c>
      <c r="AA5" s="31" t="n">
        <v>0</v>
      </c>
      <c r="AB5" s="31" t="n">
        <v>3</v>
      </c>
      <c r="AC5" s="31" t="n">
        <v>3</v>
      </c>
      <c r="AD5" s="31" t="n">
        <v>3</v>
      </c>
      <c r="AE5" s="31" t="n">
        <v>1</v>
      </c>
      <c r="AF5" s="13" t="n"/>
    </row>
    <row r="6" ht="15.75" customHeight="1" s="30">
      <c r="A6" s="1" t="inlineStr">
        <is>
          <t>Кудрявцев Михаил</t>
        </is>
      </c>
      <c r="B6" s="31">
        <f>IF(COUNTA(E6:AE6)&gt;0,C6+D6,"-")</f>
        <v/>
      </c>
      <c r="C6" s="5">
        <f>IF(COUNTA(E6:AE6)&gt;0,SUM(E6:X6),"-")</f>
        <v/>
      </c>
      <c r="D6" s="31">
        <f>IF(COUNTA(E6:AE6)&gt;0,SUM(Y6:AE6),"-")</f>
        <v/>
      </c>
      <c r="E6" s="31" t="n">
        <v>1</v>
      </c>
      <c r="F6" s="31" t="n">
        <v>1</v>
      </c>
      <c r="G6" s="31" t="n">
        <v>1</v>
      </c>
      <c r="H6" s="31" t="n">
        <v>0</v>
      </c>
      <c r="I6" s="31" t="n">
        <v>2</v>
      </c>
      <c r="J6" s="31" t="n">
        <v>2</v>
      </c>
      <c r="K6" s="31" t="n">
        <v>1</v>
      </c>
      <c r="L6" s="31" t="n">
        <v>1</v>
      </c>
      <c r="M6" s="31" t="n">
        <v>2</v>
      </c>
      <c r="N6" s="31" t="n">
        <v>2</v>
      </c>
      <c r="O6" s="31" t="n">
        <v>1</v>
      </c>
      <c r="P6" s="31" t="n">
        <v>1</v>
      </c>
      <c r="Q6" s="31" t="n">
        <v>1</v>
      </c>
      <c r="R6" s="31" t="n">
        <v>0</v>
      </c>
      <c r="S6" s="31" t="n">
        <v>2</v>
      </c>
      <c r="T6" s="31" t="n">
        <v>1</v>
      </c>
      <c r="U6" s="31" t="n">
        <v>2</v>
      </c>
      <c r="V6" s="31" t="n">
        <v>2</v>
      </c>
      <c r="W6" s="31" t="n">
        <v>1</v>
      </c>
      <c r="X6" s="31" t="n">
        <v>1</v>
      </c>
      <c r="Y6" s="5" t="n">
        <v>3</v>
      </c>
      <c r="Z6" s="31" t="n">
        <v>2</v>
      </c>
      <c r="AA6" s="31" t="n">
        <v>2</v>
      </c>
      <c r="AB6" s="31" t="n">
        <v>0</v>
      </c>
      <c r="AC6" s="31" t="n">
        <v>3</v>
      </c>
      <c r="AD6" s="31" t="n">
        <v>3</v>
      </c>
      <c r="AE6" s="31" t="n">
        <v>1</v>
      </c>
      <c r="AF6" s="12" t="inlineStr">
        <is>
          <t>🏠</t>
        </is>
      </c>
    </row>
    <row r="7" ht="15.75" customHeight="1" s="30">
      <c r="A7" s="1" t="inlineStr">
        <is>
          <t>Локтев Александр</t>
        </is>
      </c>
      <c r="B7" s="31">
        <f>IF(COUNTA(E7:AE7)&gt;0,C7+D7,"-")</f>
        <v/>
      </c>
      <c r="C7" s="5">
        <f>IF(COUNTA(E7:AE7)&gt;0,SUM(E7:X7),"-")</f>
        <v/>
      </c>
      <c r="D7" s="31">
        <f>IF(COUNTA(E7:AE7)&gt;0,SUM(Y7:AE7),"-")</f>
        <v/>
      </c>
      <c r="E7" s="31" t="n">
        <v>1</v>
      </c>
      <c r="F7" s="31" t="n">
        <v>1</v>
      </c>
      <c r="G7" s="31" t="n">
        <v>1</v>
      </c>
      <c r="H7" s="31" t="n">
        <v>1</v>
      </c>
      <c r="I7" s="31" t="n">
        <v>0</v>
      </c>
      <c r="J7" s="31" t="n">
        <v>2</v>
      </c>
      <c r="K7" s="31" t="n">
        <v>1</v>
      </c>
      <c r="L7" s="31" t="n">
        <v>1</v>
      </c>
      <c r="M7" s="31" t="n">
        <v>2</v>
      </c>
      <c r="N7" s="31" t="n">
        <v>2</v>
      </c>
      <c r="O7" s="31" t="n">
        <v>1</v>
      </c>
      <c r="P7" s="31" t="n">
        <v>1</v>
      </c>
      <c r="Q7" s="31" t="n">
        <v>1</v>
      </c>
      <c r="R7" s="31" t="n">
        <v>2</v>
      </c>
      <c r="S7" s="31" t="n">
        <v>0</v>
      </c>
      <c r="T7" s="31" t="n">
        <v>1</v>
      </c>
      <c r="U7" s="31" t="n">
        <v>2</v>
      </c>
      <c r="V7" s="31" t="n">
        <v>2</v>
      </c>
      <c r="W7" s="31" t="n">
        <v>1</v>
      </c>
      <c r="X7" s="31" t="n">
        <v>1</v>
      </c>
      <c r="Y7" s="5" t="n">
        <v>3</v>
      </c>
      <c r="Z7" s="31" t="n">
        <v>2</v>
      </c>
      <c r="AA7" s="31" t="n">
        <v>2</v>
      </c>
      <c r="AB7" s="31" t="n">
        <v>3</v>
      </c>
      <c r="AC7" s="31" t="n">
        <v>0</v>
      </c>
      <c r="AD7" s="31" t="n">
        <v>3</v>
      </c>
      <c r="AE7" s="31" t="n">
        <v>1</v>
      </c>
      <c r="AF7" s="13" t="n"/>
    </row>
    <row r="8" ht="15.75" customHeight="1" s="30">
      <c r="A8" s="1" t="inlineStr">
        <is>
          <t>Семенов Михаил</t>
        </is>
      </c>
      <c r="B8" s="31">
        <f>IF(COUNTA(E8:AE8)&gt;0,C8+D8,"-")</f>
        <v/>
      </c>
      <c r="C8" s="5">
        <f>IF(COUNTA(E8:AE8)&gt;0,SUM(E8:X8),"-")</f>
        <v/>
      </c>
      <c r="D8" s="31">
        <f>IF(COUNTA(E8:AE8)&gt;0,SUM(Y8:AE8),"-")</f>
        <v/>
      </c>
      <c r="E8" s="31" t="n">
        <v>1</v>
      </c>
      <c r="F8" s="31" t="n">
        <v>1</v>
      </c>
      <c r="G8" s="31" t="n">
        <v>1</v>
      </c>
      <c r="H8" s="31" t="n">
        <v>1</v>
      </c>
      <c r="I8" s="31" t="n">
        <v>2</v>
      </c>
      <c r="J8" s="31" t="n">
        <v>0</v>
      </c>
      <c r="K8" s="31" t="n">
        <v>1</v>
      </c>
      <c r="L8" s="31" t="n">
        <v>1</v>
      </c>
      <c r="M8" s="31" t="n">
        <v>2</v>
      </c>
      <c r="N8" s="31" t="n">
        <v>2</v>
      </c>
      <c r="O8" s="31" t="n">
        <v>1</v>
      </c>
      <c r="P8" s="31" t="n">
        <v>1</v>
      </c>
      <c r="Q8" s="31" t="n">
        <v>1</v>
      </c>
      <c r="R8" s="31" t="n">
        <v>2</v>
      </c>
      <c r="S8" s="31" t="n">
        <v>2</v>
      </c>
      <c r="T8" s="31" t="n">
        <v>0</v>
      </c>
      <c r="U8" s="31" t="n">
        <v>2</v>
      </c>
      <c r="V8" s="31" t="n">
        <v>2</v>
      </c>
      <c r="W8" s="31" t="n">
        <v>1</v>
      </c>
      <c r="X8" s="31" t="n">
        <v>1</v>
      </c>
      <c r="Y8" s="5" t="n">
        <v>3</v>
      </c>
      <c r="Z8" s="31" t="n">
        <v>2</v>
      </c>
      <c r="AA8" s="31" t="n">
        <v>2</v>
      </c>
      <c r="AB8" s="31" t="n">
        <v>3</v>
      </c>
      <c r="AC8" s="31" t="n">
        <v>3</v>
      </c>
      <c r="AD8" s="31" t="n">
        <v>0</v>
      </c>
      <c r="AE8" s="31" t="n">
        <v>1</v>
      </c>
      <c r="AF8" s="13" t="n"/>
    </row>
    <row r="9" ht="15.75" customHeight="1" s="30">
      <c r="A9" s="1" t="inlineStr">
        <is>
          <t>Скаун Андрей</t>
        </is>
      </c>
      <c r="B9" s="31">
        <f>IF(COUNTA(E9:AE9)&gt;0,C9+D9,"-")</f>
        <v/>
      </c>
      <c r="C9" s="5">
        <f>IF(COUNTA(E9:AE9)&gt;0,SUM(E9:X9),"-")</f>
        <v/>
      </c>
      <c r="D9" s="31">
        <f>IF(COUNTA(E9:AE9)&gt;0,SUM(Y9:AE9),"-")</f>
        <v/>
      </c>
      <c r="E9" s="31" t="n">
        <v>1</v>
      </c>
      <c r="F9" s="31" t="n">
        <v>1</v>
      </c>
      <c r="G9" s="31" t="n">
        <v>1</v>
      </c>
      <c r="H9" s="31" t="n">
        <v>1</v>
      </c>
      <c r="I9" s="31" t="n">
        <v>2</v>
      </c>
      <c r="J9" s="31" t="n">
        <v>2</v>
      </c>
      <c r="K9" s="31" t="n">
        <v>0</v>
      </c>
      <c r="L9" s="31" t="n">
        <v>1</v>
      </c>
      <c r="M9" s="31" t="n">
        <v>2</v>
      </c>
      <c r="N9" s="31" t="n">
        <v>2</v>
      </c>
      <c r="O9" s="31" t="n">
        <v>1</v>
      </c>
      <c r="P9" s="31" t="n">
        <v>1</v>
      </c>
      <c r="Q9" s="31" t="n">
        <v>1</v>
      </c>
      <c r="R9" s="31" t="n">
        <v>2</v>
      </c>
      <c r="S9" s="31" t="n">
        <v>2</v>
      </c>
      <c r="T9" s="31" t="n">
        <v>1</v>
      </c>
      <c r="U9" s="31" t="n">
        <v>0</v>
      </c>
      <c r="V9" s="31" t="n">
        <v>2</v>
      </c>
      <c r="W9" s="31" t="n">
        <v>1</v>
      </c>
      <c r="X9" s="31" t="n">
        <v>1</v>
      </c>
      <c r="Y9" s="5" t="n">
        <v>3</v>
      </c>
      <c r="Z9" s="31" t="n">
        <v>2</v>
      </c>
      <c r="AA9" s="31" t="n">
        <v>2</v>
      </c>
      <c r="AB9" s="31" t="n">
        <v>3</v>
      </c>
      <c r="AC9" s="31" t="n">
        <v>3</v>
      </c>
      <c r="AD9" s="31" t="n">
        <v>3</v>
      </c>
      <c r="AE9" s="31" t="n">
        <v>0</v>
      </c>
      <c r="AF9" s="12" t="inlineStr">
        <is>
          <t>🏠</t>
        </is>
      </c>
    </row>
    <row r="10" ht="15.75" customHeight="1" s="30">
      <c r="A10" s="1" t="inlineStr">
        <is>
          <t>Филиппова Алиса</t>
        </is>
      </c>
      <c r="B10" s="31">
        <f>IF(COUNTA(E10:AE10)&gt;0,C10+D10,"-")</f>
        <v/>
      </c>
      <c r="C10" s="5">
        <f>IF(COUNTA(E10:AE10)&gt;0,SUM(E10:X10),"-")</f>
        <v/>
      </c>
      <c r="D10" s="31">
        <f>IF(COUNTA(E10:AE10)&gt;0,SUM(Y10:AE10),"-")</f>
        <v/>
      </c>
      <c r="E10" s="31" t="n">
        <v>1</v>
      </c>
      <c r="F10" s="31" t="n">
        <v>1</v>
      </c>
      <c r="G10" s="31" t="n">
        <v>1</v>
      </c>
      <c r="H10" s="31" t="n">
        <v>1</v>
      </c>
      <c r="I10" s="31" t="n">
        <v>2</v>
      </c>
      <c r="J10" s="31" t="n">
        <v>2</v>
      </c>
      <c r="K10" s="31" t="n">
        <v>1</v>
      </c>
      <c r="L10" s="31" t="n">
        <v>0</v>
      </c>
      <c r="M10" s="31" t="n">
        <v>2</v>
      </c>
      <c r="N10" s="31" t="n">
        <v>2</v>
      </c>
      <c r="O10" s="31" t="n">
        <v>1</v>
      </c>
      <c r="P10" s="31" t="n">
        <v>1</v>
      </c>
      <c r="Q10" s="31" t="n">
        <v>1</v>
      </c>
      <c r="R10" s="31" t="n">
        <v>2</v>
      </c>
      <c r="S10" s="31" t="n">
        <v>2</v>
      </c>
      <c r="T10" s="31" t="n">
        <v>1</v>
      </c>
      <c r="U10" s="31" t="n">
        <v>2</v>
      </c>
      <c r="V10" s="31" t="n">
        <v>0</v>
      </c>
      <c r="W10" s="31" t="n">
        <v>1</v>
      </c>
      <c r="X10" s="31" t="n">
        <v>1</v>
      </c>
      <c r="Y10" s="5" t="n">
        <v>0</v>
      </c>
      <c r="Z10" s="31" t="n">
        <v>2</v>
      </c>
      <c r="AA10" s="31" t="n">
        <v>2</v>
      </c>
      <c r="AB10" s="31" t="n">
        <v>3</v>
      </c>
      <c r="AC10" s="31" t="n">
        <v>3</v>
      </c>
      <c r="AD10" s="31" t="n">
        <v>3</v>
      </c>
      <c r="AE10" s="31" t="n">
        <v>1</v>
      </c>
      <c r="AF10" s="13" t="n"/>
    </row>
    <row r="11" ht="15.75" customHeight="1" s="30">
      <c r="A11" s="1" t="inlineStr">
        <is>
          <t>Щербаков Иван</t>
        </is>
      </c>
      <c r="B11" s="31">
        <f>IF(COUNTA(E11:AE11)&gt;0,C11+D11,"-")</f>
        <v/>
      </c>
      <c r="C11" s="5">
        <f>IF(COUNTA(E11:AE11)&gt;0,SUM(E11:X11),"-")</f>
        <v/>
      </c>
      <c r="D11" s="31">
        <f>IF(COUNTA(E11:AE11)&gt;0,SUM(Y11:AE11),"-")</f>
        <v/>
      </c>
      <c r="E11" s="31" t="n">
        <v>1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  <c r="X11" s="31" t="n">
        <v>0</v>
      </c>
      <c r="Y11" s="5" t="n">
        <v>3</v>
      </c>
      <c r="Z11" s="31" t="n">
        <v>0</v>
      </c>
      <c r="AA11" s="31" t="n">
        <v>2</v>
      </c>
      <c r="AB11" s="31" t="n">
        <v>3</v>
      </c>
      <c r="AC11" s="31" t="n">
        <v>3</v>
      </c>
      <c r="AD11" s="31" t="n">
        <v>3</v>
      </c>
      <c r="AE11" s="31" t="n">
        <v>1</v>
      </c>
      <c r="AF11" s="12" t="inlineStr">
        <is>
          <t>🏠</t>
        </is>
      </c>
    </row>
    <row r="12" ht="15.75" customHeight="1" s="30">
      <c r="A12" s="7" t="inlineStr">
        <is>
          <t>Язынина Анна</t>
        </is>
      </c>
      <c r="B12" s="14">
        <f>IF(COUNTA(E12:AE12)&gt;0,C12+D12,"-")</f>
        <v/>
      </c>
      <c r="C12" s="15">
        <f>IF(COUNTA(E12:AE12)&gt;0,SUM(E12:X12),"-")</f>
        <v/>
      </c>
      <c r="D12" s="14">
        <f>IF(COUNTA(E12:AE12)&gt;0,SUM(Y12:AE12),"-")</f>
        <v/>
      </c>
      <c r="E12" s="14" t="n">
        <v>1</v>
      </c>
      <c r="F12" s="14" t="n">
        <v>1</v>
      </c>
      <c r="G12" s="14" t="n">
        <v>1</v>
      </c>
      <c r="H12" s="14" t="n">
        <v>1</v>
      </c>
      <c r="I12" s="14" t="n">
        <v>2</v>
      </c>
      <c r="J12" s="14" t="n">
        <v>2</v>
      </c>
      <c r="K12" s="14" t="n">
        <v>1</v>
      </c>
      <c r="L12" s="14" t="n">
        <v>1</v>
      </c>
      <c r="M12" s="14" t="n">
        <v>2</v>
      </c>
      <c r="N12" s="14" t="n">
        <v>0</v>
      </c>
      <c r="O12" s="14" t="n">
        <v>1</v>
      </c>
      <c r="P12" s="14" t="n">
        <v>1</v>
      </c>
      <c r="Q12" s="14" t="n">
        <v>1</v>
      </c>
      <c r="R12" s="14" t="n">
        <v>2</v>
      </c>
      <c r="S12" s="14" t="n">
        <v>2</v>
      </c>
      <c r="T12" s="14" t="n">
        <v>1</v>
      </c>
      <c r="U12" s="14" t="n">
        <v>2</v>
      </c>
      <c r="V12" s="14" t="n">
        <v>2</v>
      </c>
      <c r="W12" s="14" t="n">
        <v>1</v>
      </c>
      <c r="X12" s="14" t="n">
        <v>0</v>
      </c>
      <c r="Y12" s="15" t="n">
        <v>3</v>
      </c>
      <c r="Z12" s="14" t="n">
        <v>2</v>
      </c>
      <c r="AA12" s="14" t="n">
        <v>0</v>
      </c>
      <c r="AB12" s="14" t="n">
        <v>3</v>
      </c>
      <c r="AC12" s="14" t="n">
        <v>3</v>
      </c>
      <c r="AD12" s="14" t="n">
        <v>3</v>
      </c>
      <c r="AE12" s="14" t="n">
        <v>1</v>
      </c>
      <c r="AF12" s="18" t="n"/>
    </row>
    <row r="13" hidden="1" ht="15.75" customHeight="1" s="30">
      <c r="A13" s="8" t="inlineStr">
        <is>
          <t>min:</t>
        </is>
      </c>
      <c r="B13" s="31" t="n">
        <v>0</v>
      </c>
      <c r="C13" s="36" t="n">
        <v>0</v>
      </c>
      <c r="D13" s="36">
        <f>'~'!D16</f>
        <v/>
      </c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16" t="inlineStr">
        <is>
          <t>min:</t>
        </is>
      </c>
    </row>
    <row r="14" hidden="1" ht="15.75" customHeight="1" s="30">
      <c r="A14" s="8" t="inlineStr">
        <is>
          <t>max:</t>
        </is>
      </c>
      <c r="B14" s="31">
        <f>B15</f>
        <v/>
      </c>
      <c r="C14" s="31">
        <f>C15</f>
        <v/>
      </c>
      <c r="D14" s="31">
        <f>D15</f>
        <v/>
      </c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16" t="inlineStr">
        <is>
          <t>max:</t>
        </is>
      </c>
    </row>
    <row r="15" ht="15.75" customHeight="1" s="30">
      <c r="B15" s="31">
        <f>C15+D15</f>
        <v/>
      </c>
      <c r="C15" s="31">
        <f>SUM(E15:X15)</f>
        <v/>
      </c>
      <c r="D15" s="31">
        <f>SUM(Y15:AE15)</f>
        <v/>
      </c>
      <c r="E15" s="31" t="n">
        <v>1</v>
      </c>
      <c r="F15" s="31" t="n">
        <v>1</v>
      </c>
      <c r="G15" s="31" t="n">
        <v>1</v>
      </c>
      <c r="H15" s="31" t="n">
        <v>1</v>
      </c>
      <c r="I15" s="31" t="n">
        <v>2</v>
      </c>
      <c r="J15" s="31" t="n">
        <v>2</v>
      </c>
      <c r="K15" s="31" t="n">
        <v>1</v>
      </c>
      <c r="L15" s="31" t="n">
        <v>1</v>
      </c>
      <c r="M15" s="31" t="n">
        <v>2</v>
      </c>
      <c r="N15" s="31" t="n">
        <v>2</v>
      </c>
      <c r="O15" s="31" t="n">
        <v>1</v>
      </c>
      <c r="P15" s="31" t="n">
        <v>1</v>
      </c>
      <c r="Q15" s="31" t="n">
        <v>1</v>
      </c>
      <c r="R15" s="31" t="n">
        <v>2</v>
      </c>
      <c r="S15" s="31" t="n">
        <v>2</v>
      </c>
      <c r="T15" s="31" t="n">
        <v>1</v>
      </c>
      <c r="U15" s="31" t="n">
        <v>2</v>
      </c>
      <c r="V15" s="31" t="n">
        <v>2</v>
      </c>
      <c r="W15" s="31" t="n">
        <v>1</v>
      </c>
      <c r="X15" s="31" t="n">
        <v>1</v>
      </c>
      <c r="Y15" s="31" t="n">
        <v>3</v>
      </c>
      <c r="Z15" s="31" t="n">
        <v>2</v>
      </c>
      <c r="AA15" s="31" t="n">
        <v>2</v>
      </c>
      <c r="AB15" s="31" t="n">
        <v>3</v>
      </c>
      <c r="AC15" s="31" t="n">
        <v>3</v>
      </c>
      <c r="AD15" s="31" t="n">
        <v>3</v>
      </c>
      <c r="AE15" s="31" t="n">
        <v>1</v>
      </c>
      <c r="AF15" s="16" t="n"/>
    </row>
    <row r="16" ht="15.75" customHeight="1" s="30">
      <c r="E16" s="37">
        <f>SUM(E3:E12)/COUNTA(E3:E12)/E15</f>
        <v/>
      </c>
      <c r="F16" s="37">
        <f>SUM(F3:F12)/COUNTA(F3:F12)/F15</f>
        <v/>
      </c>
      <c r="G16" s="37">
        <f>SUM(G3:G12)/COUNTA(G3:G12)/G15</f>
        <v/>
      </c>
      <c r="H16" s="37">
        <f>SUM(H3:H12)/COUNTA(H3:H12)/H15</f>
        <v/>
      </c>
      <c r="I16" s="37">
        <f>SUM(I3:I12)/COUNTA(I3:I12)/I15</f>
        <v/>
      </c>
      <c r="J16" s="37">
        <f>SUM(J3:J12)/COUNTA(J3:J12)/J15</f>
        <v/>
      </c>
      <c r="K16" s="37">
        <f>SUM(K3:K12)/COUNTA(K3:K12)/K15</f>
        <v/>
      </c>
      <c r="L16" s="37">
        <f>SUM(L3:L12)/COUNTA(L3:L12)/L15</f>
        <v/>
      </c>
      <c r="M16" s="37">
        <f>SUM(M3:M12)/COUNTA(M3:M12)/M15</f>
        <v/>
      </c>
      <c r="N16" s="37">
        <f>SUM(N3:N12)/COUNTA(N3:N12)/N15</f>
        <v/>
      </c>
      <c r="O16" s="37">
        <f>SUM(O3:O12)/COUNTA(O3:O12)/O15</f>
        <v/>
      </c>
      <c r="P16" s="37">
        <f>SUM(P3:P12)/COUNTA(P3:P12)/P15</f>
        <v/>
      </c>
      <c r="Q16" s="37">
        <f>SUM(Q3:Q12)/COUNTA(Q3:Q12)/Q15</f>
        <v/>
      </c>
      <c r="R16" s="37">
        <f>SUM(R3:R12)/COUNTA(R3:R12)/R15</f>
        <v/>
      </c>
      <c r="S16" s="37">
        <f>SUM(S3:S12)/COUNTA(S3:S12)/S15</f>
        <v/>
      </c>
      <c r="T16" s="37">
        <f>SUM(T3:T12)/COUNTA(T3:T12)/T15</f>
        <v/>
      </c>
      <c r="U16" s="37">
        <f>SUM(U3:U12)/COUNTA(U3:U12)/U15</f>
        <v/>
      </c>
      <c r="V16" s="37">
        <f>SUM(V3:V12)/COUNTA(V3:V12)/V15</f>
        <v/>
      </c>
      <c r="W16" s="37">
        <f>SUM(W3:W12)/COUNTA(W3:W12)/W15</f>
        <v/>
      </c>
      <c r="X16" s="37">
        <f>SUM(X3:X12)/COUNTA(X3:X12)/X15</f>
        <v/>
      </c>
      <c r="Y16" s="37">
        <f>SUM(Y3:Y12)/COUNTA(Y3:Y12)/Y15</f>
        <v/>
      </c>
      <c r="Z16" s="37">
        <f>SUM(Z3:Z12)/COUNTA(Z3:Z12)/Z15</f>
        <v/>
      </c>
      <c r="AA16" s="37">
        <f>SUM(AA3:AA12)/COUNTA(AA3:AA12)/AA15</f>
        <v/>
      </c>
      <c r="AB16" s="37">
        <f>SUM(AB3:AB12)/COUNTA(AB3:AB12)/AB15</f>
        <v/>
      </c>
      <c r="AC16" s="37">
        <f>SUM(AC3:AC12)/COUNTA(AC3:AC12)/AC15</f>
        <v/>
      </c>
      <c r="AD16" s="37">
        <f>SUM(AD3:AD12)/COUNTA(AD3:AD12)/AD15</f>
        <v/>
      </c>
      <c r="AE16" s="37">
        <f>SUM(AE3:AE12)/COUNTA(AE3:AE12)/AE15</f>
        <v/>
      </c>
      <c r="AF16" s="16" t="n"/>
    </row>
    <row r="17" ht="15.75" customHeight="1" s="30">
      <c r="AF17" s="16" t="n"/>
    </row>
    <row r="18" ht="15.75" customHeight="1" s="30">
      <c r="AF18" s="16" t="n"/>
    </row>
    <row r="19" ht="15.75" customHeight="1" s="30">
      <c r="AF19" s="16" t="n"/>
    </row>
    <row r="20" ht="15.75" customHeight="1" s="30">
      <c r="AF20" s="16" t="n"/>
    </row>
    <row r="21" ht="15.75" customHeight="1" s="30">
      <c r="AF21" s="16" t="n"/>
    </row>
    <row r="22" ht="15.75" customHeight="1" s="30">
      <c r="AF22" s="16" t="n"/>
    </row>
    <row r="23" ht="15.75" customHeight="1" s="30">
      <c r="AF23" s="16" t="n"/>
    </row>
    <row r="24" ht="15.75" customHeight="1" s="30">
      <c r="AF24" s="16" t="n"/>
    </row>
    <row r="25" ht="15.75" customHeight="1" s="30">
      <c r="AF25" s="16" t="n"/>
    </row>
    <row r="26" ht="15.75" customHeight="1" s="30">
      <c r="AF26" s="16" t="n"/>
    </row>
    <row r="27" ht="15.75" customHeight="1" s="30">
      <c r="AF27" s="16" t="n"/>
    </row>
    <row r="28" ht="15.75" customHeight="1" s="30">
      <c r="AF28" s="16" t="n"/>
    </row>
    <row r="29" ht="15.75" customHeight="1" s="30">
      <c r="AF29" s="16" t="n"/>
    </row>
    <row r="30" ht="15.75" customHeight="1" s="30"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16" t="n"/>
    </row>
    <row r="31" ht="15.75" customHeight="1" s="30">
      <c r="AF31" s="16" t="n"/>
    </row>
    <row r="32" ht="15.75" customHeight="1" s="30">
      <c r="AF32" s="16" t="n"/>
    </row>
    <row r="33" ht="15.75" customHeight="1" s="30">
      <c r="AF33" s="16" t="n"/>
    </row>
    <row r="34" ht="15.75" customHeight="1" s="30">
      <c r="AF34" s="16" t="n"/>
    </row>
    <row r="35" ht="15.75" customHeight="1" s="30">
      <c r="AF35" s="16" t="n"/>
    </row>
    <row r="36" ht="15.75" customHeight="1" s="30">
      <c r="AF36" s="16" t="n"/>
    </row>
    <row r="37" ht="15.75" customHeight="1" s="30">
      <c r="AF37" s="16" t="n"/>
    </row>
    <row r="38" ht="15.75" customHeight="1" s="30">
      <c r="AF38" s="16" t="n"/>
    </row>
    <row r="39" ht="15.75" customHeight="1" s="30">
      <c r="AF39" s="16" t="n"/>
    </row>
    <row r="40" ht="15.75" customHeight="1" s="30">
      <c r="AF40" s="16" t="n"/>
    </row>
    <row r="41" ht="15.75" customHeight="1" s="30">
      <c r="AF41" s="16" t="n"/>
    </row>
    <row r="42" ht="15.75" customHeight="1" s="30">
      <c r="AF42" s="16" t="n"/>
    </row>
    <row r="43" ht="15.75" customHeight="1" s="30">
      <c r="AF43" s="16" t="n"/>
    </row>
    <row r="44" ht="15.75" customHeight="1" s="30">
      <c r="AF44" s="16" t="n"/>
    </row>
    <row r="45" ht="15.75" customHeight="1" s="30">
      <c r="AF45" s="16" t="n"/>
    </row>
    <row r="46" ht="15.75" customHeight="1" s="30">
      <c r="AF46" s="16" t="n"/>
    </row>
    <row r="47" ht="15.75" customHeight="1" s="30">
      <c r="AF47" s="16" t="n"/>
    </row>
    <row r="48" ht="15.75" customHeight="1" s="30">
      <c r="AF48" s="16" t="n"/>
    </row>
    <row r="49" ht="15.75" customHeight="1" s="30">
      <c r="AF49" s="16" t="n"/>
    </row>
    <row r="50" ht="15.75" customHeight="1" s="30">
      <c r="AF50" s="16" t="n"/>
    </row>
    <row r="51" ht="15.75" customHeight="1" s="30">
      <c r="AF51" s="16" t="n"/>
    </row>
    <row r="52" ht="15.75" customHeight="1" s="30">
      <c r="AF52" s="16" t="n"/>
    </row>
    <row r="53" ht="15.75" customHeight="1" s="30">
      <c r="AF53" s="16" t="n"/>
    </row>
    <row r="54" ht="15.75" customHeight="1" s="30">
      <c r="AF54" s="16" t="n"/>
    </row>
    <row r="55" ht="15.75" customHeight="1" s="30">
      <c r="AF55" s="16" t="n"/>
    </row>
    <row r="56" ht="15.75" customHeight="1" s="30">
      <c r="AF56" s="16" t="n"/>
    </row>
    <row r="57" ht="15.75" customHeight="1" s="30">
      <c r="AF57" s="16" t="n"/>
    </row>
    <row r="58" ht="15.75" customHeight="1" s="30">
      <c r="AF58" s="16" t="n"/>
    </row>
    <row r="59" ht="13" customHeight="1" s="30">
      <c r="AF59" s="16" t="n"/>
    </row>
    <row r="60" ht="13" customHeight="1" s="30">
      <c r="AF60" s="16" t="n"/>
    </row>
    <row r="61" ht="13" customHeight="1" s="30">
      <c r="AF61" s="16" t="n"/>
    </row>
    <row r="62" ht="13" customHeight="1" s="30">
      <c r="AF62" s="16" t="n"/>
    </row>
    <row r="63" ht="13" customHeight="1" s="30">
      <c r="AF63" s="16" t="n"/>
    </row>
    <row r="64" ht="13" customHeight="1" s="30">
      <c r="AF64" s="16" t="n"/>
    </row>
    <row r="65" ht="13" customHeight="1" s="30">
      <c r="AF65" s="16" t="n"/>
    </row>
    <row r="66" ht="13" customHeight="1" s="30">
      <c r="AF66" s="16" t="n"/>
    </row>
    <row r="67" ht="13" customHeight="1" s="30">
      <c r="AF67" s="16" t="n"/>
    </row>
    <row r="68" ht="13" customHeight="1" s="30">
      <c r="AF68" s="16" t="n"/>
    </row>
    <row r="69" ht="13" customHeight="1" s="30">
      <c r="AF69" s="16" t="n"/>
    </row>
    <row r="70" ht="13" customHeight="1" s="30">
      <c r="AF70" s="16" t="n"/>
    </row>
    <row r="71" ht="13" customHeight="1" s="30">
      <c r="AF71" s="16" t="n"/>
    </row>
    <row r="72" ht="13" customHeight="1" s="30">
      <c r="AF72" s="16" t="n"/>
    </row>
    <row r="73" ht="13" customHeight="1" s="30">
      <c r="AF73" s="16" t="n"/>
    </row>
    <row r="74" ht="13" customHeight="1" s="30">
      <c r="AF74" s="16" t="n"/>
    </row>
    <row r="75" ht="13" customHeight="1" s="30">
      <c r="AF75" s="16" t="n"/>
    </row>
    <row r="76" ht="13" customHeight="1" s="30">
      <c r="AF76" s="16" t="n"/>
    </row>
    <row r="77" ht="13" customHeight="1" s="30">
      <c r="AF77" s="16" t="n"/>
    </row>
    <row r="78" ht="13" customHeight="1" s="30">
      <c r="AF78" s="16" t="n"/>
    </row>
    <row r="79" ht="13" customHeight="1" s="30">
      <c r="AF79" s="16" t="n"/>
    </row>
    <row r="80" ht="13" customHeight="1" s="30">
      <c r="AF80" s="16" t="n"/>
    </row>
    <row r="81" ht="13" customHeight="1" s="30">
      <c r="AF81" s="16" t="n"/>
    </row>
    <row r="82" ht="13" customHeight="1" s="30">
      <c r="AF82" s="16" t="n"/>
    </row>
    <row r="83" ht="13" customHeight="1" s="30">
      <c r="AF83" s="16" t="n"/>
    </row>
    <row r="84" ht="13" customHeight="1" s="30">
      <c r="AF84" s="16" t="n"/>
    </row>
    <row r="85" ht="13" customHeight="1" s="30">
      <c r="AF85" s="16" t="n"/>
    </row>
    <row r="86" ht="13" customHeight="1" s="30">
      <c r="AF86" s="16" t="n"/>
    </row>
    <row r="87" ht="13" customHeight="1" s="30">
      <c r="AF87" s="16" t="n"/>
    </row>
    <row r="88" ht="13" customHeight="1" s="30">
      <c r="AF88" s="16" t="n"/>
    </row>
    <row r="89" ht="13" customHeight="1" s="30">
      <c r="AF89" s="16" t="n"/>
    </row>
    <row r="90" ht="13" customHeight="1" s="30">
      <c r="AF90" s="16" t="n"/>
    </row>
    <row r="91" ht="13" customHeight="1" s="30">
      <c r="AF91" s="16" t="n"/>
    </row>
    <row r="92" ht="13" customHeight="1" s="30">
      <c r="AF92" s="16" t="n"/>
    </row>
    <row r="93" ht="13" customHeight="1" s="30">
      <c r="AF93" s="16" t="n"/>
    </row>
    <row r="94" ht="13" customHeight="1" s="30">
      <c r="AF94" s="16" t="n"/>
    </row>
    <row r="95" ht="13" customHeight="1" s="30">
      <c r="AF95" s="16" t="n"/>
    </row>
    <row r="96" ht="13" customHeight="1" s="30">
      <c r="AF96" s="16" t="n"/>
    </row>
    <row r="97" ht="13" customHeight="1" s="30">
      <c r="AF97" s="16" t="n"/>
    </row>
    <row r="98" ht="13" customHeight="1" s="30">
      <c r="AF98" s="16" t="n"/>
    </row>
    <row r="99" ht="13" customHeight="1" s="30">
      <c r="AF99" s="16" t="n"/>
    </row>
    <row r="100" ht="13" customHeight="1" s="30">
      <c r="AF100" s="16" t="n"/>
    </row>
    <row r="101" ht="13" customHeight="1" s="30">
      <c r="AF101" s="16" t="n"/>
    </row>
    <row r="102" ht="13" customHeight="1" s="30">
      <c r="AF102" s="16" t="n"/>
    </row>
    <row r="103" ht="13" customHeight="1" s="30">
      <c r="AF103" s="16" t="n"/>
    </row>
    <row r="104" ht="13" customHeight="1" s="30">
      <c r="AF104" s="16" t="n"/>
    </row>
    <row r="105" ht="13" customHeight="1" s="30">
      <c r="AF105" s="16" t="n"/>
    </row>
    <row r="106" ht="13" customHeight="1" s="30">
      <c r="AF106" s="16" t="n"/>
    </row>
    <row r="107" ht="13" customHeight="1" s="30">
      <c r="AF107" s="16" t="n"/>
    </row>
    <row r="108" ht="13" customHeight="1" s="30">
      <c r="AF108" s="16" t="n"/>
    </row>
    <row r="109" ht="13" customHeight="1" s="30">
      <c r="AF109" s="16" t="n"/>
    </row>
    <row r="110" ht="13" customHeight="1" s="30">
      <c r="AF110" s="16" t="n"/>
    </row>
    <row r="111" ht="13" customHeight="1" s="30">
      <c r="AF111" s="16" t="n"/>
    </row>
    <row r="112" ht="13" customHeight="1" s="30">
      <c r="AF112" s="16" t="n"/>
    </row>
    <row r="113" ht="13" customHeight="1" s="30">
      <c r="AF113" s="16" t="n"/>
    </row>
    <row r="114" ht="13" customHeight="1" s="30">
      <c r="AF114" s="16" t="n"/>
    </row>
    <row r="115" ht="13" customHeight="1" s="30">
      <c r="AF115" s="16" t="n"/>
    </row>
    <row r="116" ht="13" customHeight="1" s="30">
      <c r="AF116" s="16" t="n"/>
    </row>
    <row r="117" ht="13" customHeight="1" s="30">
      <c r="AF117" s="16" t="n"/>
    </row>
    <row r="118" ht="13" customHeight="1" s="30">
      <c r="AF118" s="16" t="n"/>
    </row>
    <row r="119" ht="13" customHeight="1" s="30">
      <c r="AF119" s="16" t="n"/>
    </row>
    <row r="120" ht="13" customHeight="1" s="30">
      <c r="AF120" s="16" t="n"/>
    </row>
    <row r="121" ht="13" customHeight="1" s="30">
      <c r="AF121" s="16" t="n"/>
    </row>
    <row r="122" ht="13" customHeight="1" s="30">
      <c r="AF122" s="16" t="n"/>
    </row>
    <row r="123" ht="13" customHeight="1" s="30">
      <c r="AF123" s="16" t="n"/>
    </row>
    <row r="124" ht="13" customHeight="1" s="30">
      <c r="AF124" s="16" t="n"/>
    </row>
    <row r="125" ht="13" customHeight="1" s="30">
      <c r="AF125" s="16" t="n"/>
    </row>
    <row r="126" ht="13" customHeight="1" s="30">
      <c r="AF126" s="16" t="n"/>
    </row>
    <row r="127" ht="13" customHeight="1" s="30">
      <c r="AF127" s="16" t="n"/>
    </row>
    <row r="128" ht="13" customHeight="1" s="30">
      <c r="AF128" s="16" t="n"/>
    </row>
    <row r="129" ht="13" customHeight="1" s="30">
      <c r="AF129" s="16" t="n"/>
    </row>
    <row r="130" ht="13" customHeight="1" s="30">
      <c r="AF130" s="16" t="n"/>
    </row>
    <row r="131" ht="13" customHeight="1" s="30">
      <c r="AF131" s="16" t="n"/>
    </row>
    <row r="132" ht="13" customHeight="1" s="30">
      <c r="AF132" s="16" t="n"/>
    </row>
    <row r="133" ht="13" customHeight="1" s="30">
      <c r="AF133" s="16" t="n"/>
    </row>
    <row r="134" ht="13" customHeight="1" s="30">
      <c r="AF134" s="16" t="n"/>
    </row>
    <row r="135" ht="13" customHeight="1" s="30">
      <c r="AF135" s="16" t="n"/>
    </row>
    <row r="136" ht="13" customHeight="1" s="30">
      <c r="AF136" s="16" t="n"/>
    </row>
    <row r="137" ht="13" customHeight="1" s="30">
      <c r="AF137" s="16" t="n"/>
    </row>
    <row r="138" ht="13" customHeight="1" s="30">
      <c r="AF138" s="16" t="n"/>
    </row>
    <row r="139" ht="13" customHeight="1" s="30">
      <c r="AF139" s="16" t="n"/>
    </row>
    <row r="140" ht="13" customHeight="1" s="30">
      <c r="AF140" s="16" t="n"/>
    </row>
    <row r="141" ht="13" customHeight="1" s="30">
      <c r="AF141" s="16" t="n"/>
    </row>
    <row r="142" ht="13" customHeight="1" s="30">
      <c r="AF142" s="16" t="n"/>
    </row>
    <row r="143" ht="13" customHeight="1" s="30">
      <c r="AF143" s="16" t="n"/>
    </row>
    <row r="144" ht="13" customHeight="1" s="30">
      <c r="AF144" s="16" t="n"/>
    </row>
    <row r="145" ht="13" customHeight="1" s="30">
      <c r="AF145" s="16" t="n"/>
    </row>
    <row r="146" ht="13" customHeight="1" s="30">
      <c r="AF146" s="16" t="n"/>
    </row>
    <row r="147" ht="13" customHeight="1" s="30">
      <c r="AF147" s="16" t="n"/>
    </row>
    <row r="148" ht="13" customHeight="1" s="30">
      <c r="AF148" s="16" t="n"/>
    </row>
    <row r="149" ht="13" customHeight="1" s="30">
      <c r="AF149" s="16" t="n"/>
    </row>
    <row r="150" ht="13" customHeight="1" s="30">
      <c r="AF150" s="16" t="n"/>
    </row>
    <row r="151" ht="13" customHeight="1" s="30">
      <c r="AF151" s="16" t="n"/>
    </row>
    <row r="152" ht="13" customHeight="1" s="30">
      <c r="AF152" s="16" t="n"/>
    </row>
    <row r="153" ht="13" customHeight="1" s="30">
      <c r="AF153" s="16" t="n"/>
    </row>
    <row r="154" ht="13" customHeight="1" s="30">
      <c r="AF154" s="16" t="n"/>
    </row>
    <row r="155" ht="13" customHeight="1" s="30">
      <c r="AF155" s="16" t="n"/>
    </row>
    <row r="156" ht="13" customHeight="1" s="30">
      <c r="AF156" s="16" t="n"/>
    </row>
    <row r="157" ht="13" customHeight="1" s="30">
      <c r="AF157" s="16" t="n"/>
    </row>
    <row r="158" ht="13" customHeight="1" s="30">
      <c r="AF158" s="16" t="n"/>
    </row>
    <row r="159" ht="13" customHeight="1" s="30">
      <c r="AF159" s="16" t="n"/>
    </row>
    <row r="160" ht="13" customHeight="1" s="30">
      <c r="AF160" s="16" t="n"/>
    </row>
    <row r="161" ht="13" customHeight="1" s="30">
      <c r="AF161" s="16" t="n"/>
    </row>
    <row r="162" ht="13" customHeight="1" s="30">
      <c r="AF162" s="16" t="n"/>
    </row>
    <row r="163" ht="13" customHeight="1" s="30">
      <c r="AF163" s="16" t="n"/>
    </row>
    <row r="164" ht="13" customHeight="1" s="30">
      <c r="AF164" s="16" t="n"/>
    </row>
    <row r="165" ht="13" customHeight="1" s="30">
      <c r="AF165" s="16" t="n"/>
    </row>
    <row r="166" ht="13" customHeight="1" s="30">
      <c r="AF166" s="16" t="n"/>
    </row>
    <row r="167" ht="13" customHeight="1" s="30">
      <c r="AF167" s="16" t="n"/>
    </row>
    <row r="168" ht="13" customHeight="1" s="30">
      <c r="AF168" s="16" t="n"/>
    </row>
    <row r="169" ht="13" customHeight="1" s="30">
      <c r="AF169" s="16" t="n"/>
    </row>
    <row r="170" ht="13" customHeight="1" s="30">
      <c r="AF170" s="16" t="n"/>
    </row>
    <row r="171" ht="13" customHeight="1" s="30">
      <c r="AF171" s="16" t="n"/>
    </row>
    <row r="172" ht="13" customHeight="1" s="30">
      <c r="AF172" s="16" t="n"/>
    </row>
    <row r="173" ht="13" customHeight="1" s="30">
      <c r="AF173" s="16" t="n"/>
    </row>
    <row r="174" ht="13" customHeight="1" s="30">
      <c r="AF174" s="16" t="n"/>
    </row>
    <row r="175" ht="13" customHeight="1" s="30">
      <c r="AF175" s="16" t="n"/>
    </row>
    <row r="176" ht="13" customHeight="1" s="30">
      <c r="AF176" s="16" t="n"/>
    </row>
    <row r="177" ht="13" customHeight="1" s="30">
      <c r="AF177" s="16" t="n"/>
    </row>
    <row r="178" ht="13" customHeight="1" s="30">
      <c r="AF178" s="16" t="n"/>
    </row>
    <row r="179" ht="13" customHeight="1" s="30">
      <c r="AF179" s="16" t="n"/>
    </row>
    <row r="180" ht="13" customHeight="1" s="30">
      <c r="AF180" s="16" t="n"/>
    </row>
    <row r="181" ht="13" customHeight="1" s="30">
      <c r="AF181" s="16" t="n"/>
    </row>
    <row r="182" ht="13" customHeight="1" s="30">
      <c r="AF182" s="16" t="n"/>
    </row>
    <row r="183" ht="13" customHeight="1" s="30">
      <c r="AF183" s="16" t="n"/>
    </row>
    <row r="184" ht="13" customHeight="1" s="30">
      <c r="AF184" s="16" t="n"/>
    </row>
    <row r="185" ht="13" customHeight="1" s="30">
      <c r="AF185" s="16" t="n"/>
    </row>
    <row r="186" ht="13" customHeight="1" s="30">
      <c r="AF186" s="16" t="n"/>
    </row>
    <row r="187" ht="13" customHeight="1" s="30">
      <c r="AF187" s="16" t="n"/>
    </row>
    <row r="188" ht="13" customHeight="1" s="30">
      <c r="AF188" s="16" t="n"/>
    </row>
    <row r="189" ht="13" customHeight="1" s="30">
      <c r="AF189" s="16" t="n"/>
    </row>
    <row r="190" ht="13" customHeight="1" s="30">
      <c r="AF190" s="16" t="n"/>
    </row>
    <row r="191" ht="13" customHeight="1" s="30">
      <c r="AF191" s="16" t="n"/>
    </row>
    <row r="192" ht="13" customHeight="1" s="30">
      <c r="AF192" s="16" t="n"/>
    </row>
    <row r="193" ht="13" customHeight="1" s="30">
      <c r="AF193" s="16" t="n"/>
    </row>
    <row r="194" ht="13" customHeight="1" s="30">
      <c r="AF194" s="16" t="n"/>
    </row>
    <row r="195" ht="13" customHeight="1" s="30">
      <c r="AF195" s="16" t="n"/>
    </row>
    <row r="196" ht="13" customHeight="1" s="30">
      <c r="AF196" s="16" t="n"/>
    </row>
    <row r="197" ht="13" customHeight="1" s="30">
      <c r="AF197" s="16" t="n"/>
    </row>
    <row r="198" ht="13" customHeight="1" s="30">
      <c r="AF198" s="16" t="n"/>
    </row>
    <row r="199" ht="13" customHeight="1" s="30">
      <c r="AF199" s="16" t="n"/>
    </row>
    <row r="200" ht="13" customHeight="1" s="30">
      <c r="AF200" s="16" t="n"/>
    </row>
    <row r="201" ht="13" customHeight="1" s="30">
      <c r="AF201" s="16" t="n"/>
    </row>
    <row r="202" ht="13" customHeight="1" s="30">
      <c r="AF202" s="16" t="n"/>
    </row>
    <row r="203" ht="13" customHeight="1" s="30">
      <c r="AF203" s="16" t="n"/>
    </row>
    <row r="204" ht="13" customHeight="1" s="30">
      <c r="AF204" s="16" t="n"/>
    </row>
    <row r="205" ht="13" customHeight="1" s="30">
      <c r="AF205" s="16" t="n"/>
    </row>
    <row r="206" ht="13" customHeight="1" s="30">
      <c r="AF206" s="16" t="n"/>
    </row>
    <row r="207" ht="13" customHeight="1" s="30">
      <c r="AF207" s="16" t="n"/>
    </row>
    <row r="208" ht="13" customHeight="1" s="30">
      <c r="AF208" s="16" t="n"/>
    </row>
    <row r="209" ht="13" customHeight="1" s="30">
      <c r="AF209" s="16" t="n"/>
    </row>
    <row r="210" ht="13" customHeight="1" s="30">
      <c r="AF210" s="16" t="n"/>
    </row>
    <row r="211" ht="13" customHeight="1" s="30">
      <c r="AF211" s="16" t="n"/>
    </row>
    <row r="212" ht="13" customHeight="1" s="30">
      <c r="AF212" s="16" t="n"/>
    </row>
    <row r="213" ht="13" customHeight="1" s="30">
      <c r="AF213" s="16" t="n"/>
    </row>
    <row r="214" ht="13" customHeight="1" s="30">
      <c r="AF214" s="16" t="n"/>
    </row>
    <row r="215" ht="13" customHeight="1" s="30">
      <c r="AF215" s="16" t="n"/>
    </row>
    <row r="216" ht="13" customHeight="1" s="30">
      <c r="AF216" s="16" t="n"/>
    </row>
    <row r="217" ht="13" customHeight="1" s="30">
      <c r="AF217" s="16" t="n"/>
    </row>
    <row r="218" ht="13" customHeight="1" s="30">
      <c r="AF218" s="16" t="n"/>
    </row>
    <row r="219" ht="13" customHeight="1" s="30">
      <c r="AF219" s="16" t="n"/>
    </row>
    <row r="220" ht="13" customHeight="1" s="30">
      <c r="AF220" s="16" t="n"/>
    </row>
    <row r="221" ht="13" customHeight="1" s="30">
      <c r="AF221" s="16" t="n"/>
    </row>
    <row r="222" ht="13" customHeight="1" s="30">
      <c r="AF222" s="16" t="n"/>
    </row>
    <row r="223" ht="13" customHeight="1" s="30">
      <c r="AF223" s="16" t="n"/>
    </row>
    <row r="224" ht="13" customHeight="1" s="30">
      <c r="AF224" s="16" t="n"/>
    </row>
    <row r="225" ht="13" customHeight="1" s="30">
      <c r="AF225" s="16" t="n"/>
    </row>
    <row r="226" ht="13" customHeight="1" s="30">
      <c r="AF226" s="16" t="n"/>
    </row>
    <row r="227" ht="13" customHeight="1" s="30">
      <c r="AF227" s="16" t="n"/>
    </row>
    <row r="228" ht="13" customHeight="1" s="30">
      <c r="AF228" s="16" t="n"/>
    </row>
    <row r="229" ht="13" customHeight="1" s="30">
      <c r="AF229" s="16" t="n"/>
    </row>
    <row r="230" ht="13" customHeight="1" s="30">
      <c r="AF230" s="16" t="n"/>
    </row>
    <row r="231" ht="13" customHeight="1" s="30">
      <c r="AF231" s="16" t="n"/>
    </row>
    <row r="232" ht="13" customHeight="1" s="30">
      <c r="AF232" s="16" t="n"/>
    </row>
    <row r="233" ht="13" customHeight="1" s="30">
      <c r="AF233" s="16" t="n"/>
    </row>
    <row r="234" ht="13" customHeight="1" s="30">
      <c r="AF234" s="16" t="n"/>
    </row>
    <row r="235" ht="13" customHeight="1" s="30">
      <c r="AF235" s="16" t="n"/>
    </row>
    <row r="236" ht="13" customHeight="1" s="30">
      <c r="AF236" s="16" t="n"/>
    </row>
    <row r="237" ht="13" customHeight="1" s="30">
      <c r="AF237" s="16" t="n"/>
    </row>
    <row r="238" ht="13" customHeight="1" s="30">
      <c r="AF238" s="16" t="n"/>
    </row>
    <row r="239" ht="13" customHeight="1" s="30">
      <c r="AF239" s="16" t="n"/>
    </row>
    <row r="240" ht="13" customHeight="1" s="30">
      <c r="AF240" s="16" t="n"/>
    </row>
    <row r="241" ht="13" customHeight="1" s="30">
      <c r="AF241" s="16" t="n"/>
    </row>
    <row r="242" ht="13" customHeight="1" s="30">
      <c r="AF242" s="16" t="n"/>
    </row>
    <row r="243" ht="13" customHeight="1" s="30">
      <c r="AF243" s="16" t="n"/>
    </row>
    <row r="244" ht="13" customHeight="1" s="30">
      <c r="AF244" s="16" t="n"/>
    </row>
    <row r="245" ht="13" customHeight="1" s="30">
      <c r="AF245" s="16" t="n"/>
    </row>
    <row r="246" ht="13" customHeight="1" s="30">
      <c r="AF246" s="16" t="n"/>
    </row>
    <row r="247" ht="13" customHeight="1" s="30">
      <c r="AF247" s="16" t="n"/>
    </row>
    <row r="248" ht="13" customHeight="1" s="30">
      <c r="AF248" s="16" t="n"/>
    </row>
    <row r="249" ht="13" customHeight="1" s="30">
      <c r="AF249" s="16" t="n"/>
    </row>
    <row r="250" ht="13" customHeight="1" s="30">
      <c r="AF250" s="16" t="n"/>
    </row>
    <row r="251" ht="13" customHeight="1" s="30">
      <c r="AF251" s="16" t="n"/>
    </row>
    <row r="252" ht="13" customHeight="1" s="30">
      <c r="AF252" s="16" t="n"/>
    </row>
    <row r="253" ht="13" customHeight="1" s="30">
      <c r="AF253" s="16" t="n"/>
    </row>
    <row r="254" ht="13" customHeight="1" s="30">
      <c r="AF254" s="16" t="n"/>
    </row>
    <row r="255" ht="13" customHeight="1" s="30">
      <c r="AF255" s="16" t="n"/>
    </row>
    <row r="256" ht="13" customHeight="1" s="30">
      <c r="AF256" s="16" t="n"/>
    </row>
    <row r="257" ht="13" customHeight="1" s="30">
      <c r="AF257" s="16" t="n"/>
    </row>
    <row r="258" ht="13" customHeight="1" s="30">
      <c r="AF258" s="16" t="n"/>
    </row>
    <row r="259" ht="13" customHeight="1" s="30">
      <c r="AF259" s="16" t="n"/>
    </row>
    <row r="260" ht="13" customHeight="1" s="30">
      <c r="AF260" s="16" t="n"/>
    </row>
    <row r="261" ht="13" customHeight="1" s="30">
      <c r="AF261" s="16" t="n"/>
    </row>
    <row r="262" ht="13" customHeight="1" s="30">
      <c r="AF262" s="16" t="n"/>
    </row>
    <row r="263" ht="13" customHeight="1" s="30">
      <c r="AF263" s="16" t="n"/>
    </row>
    <row r="264" ht="13" customHeight="1" s="30">
      <c r="AF264" s="16" t="n"/>
    </row>
    <row r="265" ht="13" customHeight="1" s="30">
      <c r="AF265" s="16" t="n"/>
    </row>
    <row r="266" ht="13" customHeight="1" s="30">
      <c r="AF266" s="16" t="n"/>
    </row>
    <row r="267" ht="13" customHeight="1" s="30">
      <c r="AF267" s="16" t="n"/>
    </row>
    <row r="268" ht="13" customHeight="1" s="30">
      <c r="AF268" s="16" t="n"/>
    </row>
    <row r="269" ht="13" customHeight="1" s="30">
      <c r="AF269" s="16" t="n"/>
    </row>
    <row r="270" ht="13" customHeight="1" s="30">
      <c r="AF270" s="16" t="n"/>
    </row>
    <row r="271" ht="13" customHeight="1" s="30">
      <c r="AF271" s="16" t="n"/>
    </row>
    <row r="272" ht="13" customHeight="1" s="30">
      <c r="AF272" s="16" t="n"/>
    </row>
    <row r="273" ht="13" customHeight="1" s="30">
      <c r="AF273" s="16" t="n"/>
    </row>
    <row r="274" ht="13" customHeight="1" s="30">
      <c r="AF274" s="16" t="n"/>
    </row>
    <row r="275" ht="13" customHeight="1" s="30">
      <c r="AF275" s="16" t="n"/>
    </row>
    <row r="276" ht="13" customHeight="1" s="30">
      <c r="AF276" s="16" t="n"/>
    </row>
    <row r="277" ht="13" customHeight="1" s="30">
      <c r="AF277" s="16" t="n"/>
    </row>
    <row r="278" ht="13" customHeight="1" s="30">
      <c r="AF278" s="16" t="n"/>
    </row>
    <row r="279" ht="13" customHeight="1" s="30">
      <c r="AF279" s="16" t="n"/>
    </row>
    <row r="280" ht="13" customHeight="1" s="30">
      <c r="AF280" s="16" t="n"/>
    </row>
    <row r="281" ht="13" customHeight="1" s="30">
      <c r="AF281" s="16" t="n"/>
    </row>
    <row r="282" ht="13" customHeight="1" s="30">
      <c r="AF282" s="16" t="n"/>
    </row>
    <row r="283" ht="13" customHeight="1" s="30">
      <c r="AF283" s="16" t="n"/>
    </row>
    <row r="284" ht="13" customHeight="1" s="30">
      <c r="AF284" s="16" t="n"/>
    </row>
    <row r="285" ht="13" customHeight="1" s="30">
      <c r="AF285" s="16" t="n"/>
    </row>
    <row r="286" ht="13" customHeight="1" s="30">
      <c r="AF286" s="16" t="n"/>
    </row>
    <row r="287" ht="13" customHeight="1" s="30">
      <c r="AF287" s="16" t="n"/>
    </row>
    <row r="288" ht="13" customHeight="1" s="30">
      <c r="AF288" s="16" t="n"/>
    </row>
    <row r="289" ht="13" customHeight="1" s="30">
      <c r="AF289" s="16" t="n"/>
    </row>
    <row r="290" ht="13" customHeight="1" s="30">
      <c r="AF290" s="16" t="n"/>
    </row>
    <row r="291" ht="13" customHeight="1" s="30">
      <c r="AF291" s="16" t="n"/>
    </row>
    <row r="292" ht="13" customHeight="1" s="30">
      <c r="AF292" s="16" t="n"/>
    </row>
    <row r="293" ht="13" customHeight="1" s="30">
      <c r="AF293" s="16" t="n"/>
    </row>
    <row r="294" ht="13" customHeight="1" s="30">
      <c r="AF294" s="16" t="n"/>
    </row>
    <row r="295" ht="13" customHeight="1" s="30">
      <c r="AF295" s="16" t="n"/>
    </row>
    <row r="296" ht="13" customHeight="1" s="30">
      <c r="AF296" s="16" t="n"/>
    </row>
    <row r="297" ht="13" customHeight="1" s="30">
      <c r="AF297" s="16" t="n"/>
    </row>
    <row r="298" ht="13" customHeight="1" s="30">
      <c r="AF298" s="16" t="n"/>
    </row>
    <row r="299" ht="13" customHeight="1" s="30">
      <c r="AF299" s="16" t="n"/>
    </row>
    <row r="300" ht="13" customHeight="1" s="30">
      <c r="AF300" s="16" t="n"/>
    </row>
    <row r="301" ht="13" customHeight="1" s="30">
      <c r="AF301" s="16" t="n"/>
    </row>
    <row r="302" ht="13" customHeight="1" s="30">
      <c r="AF302" s="16" t="n"/>
    </row>
    <row r="303" ht="13" customHeight="1" s="30">
      <c r="AF303" s="16" t="n"/>
    </row>
    <row r="304" ht="13" customHeight="1" s="30">
      <c r="AF304" s="16" t="n"/>
    </row>
    <row r="305" ht="13" customHeight="1" s="30">
      <c r="AF305" s="16" t="n"/>
    </row>
    <row r="306" ht="13" customHeight="1" s="30">
      <c r="AF306" s="16" t="n"/>
    </row>
    <row r="307" ht="13" customHeight="1" s="30">
      <c r="AF307" s="16" t="n"/>
    </row>
    <row r="308" ht="13" customHeight="1" s="30">
      <c r="AF308" s="16" t="n"/>
    </row>
    <row r="309" ht="13" customHeight="1" s="30">
      <c r="AF309" s="16" t="n"/>
    </row>
    <row r="310" ht="13" customHeight="1" s="30">
      <c r="AF310" s="16" t="n"/>
    </row>
    <row r="311" ht="13" customHeight="1" s="30">
      <c r="AF311" s="16" t="n"/>
    </row>
    <row r="312" ht="13" customHeight="1" s="30">
      <c r="AF312" s="16" t="n"/>
    </row>
    <row r="313" ht="13" customHeight="1" s="30">
      <c r="AF313" s="16" t="n"/>
    </row>
    <row r="314" ht="13" customHeight="1" s="30">
      <c r="AF314" s="16" t="n"/>
    </row>
    <row r="315" ht="13" customHeight="1" s="30">
      <c r="AF315" s="16" t="n"/>
    </row>
    <row r="316" ht="13" customHeight="1" s="30">
      <c r="AF316" s="16" t="n"/>
    </row>
    <row r="317" ht="13" customHeight="1" s="30">
      <c r="AF317" s="16" t="n"/>
    </row>
    <row r="318" ht="13" customHeight="1" s="30">
      <c r="AF318" s="16" t="n"/>
    </row>
    <row r="319" ht="13" customHeight="1" s="30">
      <c r="AF319" s="16" t="n"/>
    </row>
    <row r="320" ht="13" customHeight="1" s="30">
      <c r="AF320" s="16" t="n"/>
    </row>
    <row r="321" ht="13" customHeight="1" s="30">
      <c r="AF321" s="16" t="n"/>
    </row>
    <row r="322" ht="13" customHeight="1" s="30">
      <c r="AF322" s="16" t="n"/>
    </row>
    <row r="323" ht="13" customHeight="1" s="30">
      <c r="AF323" s="16" t="n"/>
    </row>
    <row r="324" ht="13" customHeight="1" s="30">
      <c r="AF324" s="16" t="n"/>
    </row>
    <row r="325" ht="13" customHeight="1" s="30">
      <c r="AF325" s="16" t="n"/>
    </row>
    <row r="326" ht="13" customHeight="1" s="30">
      <c r="AF326" s="16" t="n"/>
    </row>
    <row r="327" ht="13" customHeight="1" s="30">
      <c r="AF327" s="16" t="n"/>
    </row>
    <row r="328" ht="13" customHeight="1" s="30">
      <c r="AF328" s="16" t="n"/>
    </row>
    <row r="329" ht="13" customHeight="1" s="30">
      <c r="AF329" s="16" t="n"/>
    </row>
    <row r="330" ht="13" customHeight="1" s="30">
      <c r="AF330" s="16" t="n"/>
    </row>
    <row r="331" ht="13" customHeight="1" s="30">
      <c r="AF331" s="16" t="n"/>
    </row>
    <row r="332" ht="13" customHeight="1" s="30">
      <c r="AF332" s="16" t="n"/>
    </row>
    <row r="333" ht="13" customHeight="1" s="30">
      <c r="AF333" s="16" t="n"/>
    </row>
    <row r="334" ht="13" customHeight="1" s="30">
      <c r="AF334" s="16" t="n"/>
    </row>
    <row r="335" ht="13" customHeight="1" s="30">
      <c r="AF335" s="16" t="n"/>
    </row>
    <row r="336" ht="13" customHeight="1" s="30">
      <c r="AF336" s="16" t="n"/>
    </row>
    <row r="337" ht="13" customHeight="1" s="30">
      <c r="AF337" s="16" t="n"/>
    </row>
    <row r="338" ht="13" customHeight="1" s="30">
      <c r="AF338" s="16" t="n"/>
    </row>
    <row r="339" ht="13" customHeight="1" s="30">
      <c r="AF339" s="16" t="n"/>
    </row>
    <row r="340" ht="13" customHeight="1" s="30">
      <c r="AF340" s="16" t="n"/>
    </row>
    <row r="341" ht="13" customHeight="1" s="30">
      <c r="AF341" s="16" t="n"/>
    </row>
    <row r="342" ht="13" customHeight="1" s="30">
      <c r="AF342" s="16" t="n"/>
    </row>
    <row r="343" ht="13" customHeight="1" s="30">
      <c r="AF343" s="16" t="n"/>
    </row>
    <row r="344" ht="13" customHeight="1" s="30">
      <c r="AF344" s="16" t="n"/>
    </row>
    <row r="345" ht="13" customHeight="1" s="30">
      <c r="AF345" s="16" t="n"/>
    </row>
    <row r="346" ht="13" customHeight="1" s="30">
      <c r="AF346" s="16" t="n"/>
    </row>
    <row r="347" ht="13" customHeight="1" s="30">
      <c r="AF347" s="16" t="n"/>
    </row>
    <row r="348" ht="13" customHeight="1" s="30">
      <c r="AF348" s="16" t="n"/>
    </row>
    <row r="349" ht="13" customHeight="1" s="30">
      <c r="AF349" s="16" t="n"/>
    </row>
    <row r="350" ht="13" customHeight="1" s="30">
      <c r="AF350" s="16" t="n"/>
    </row>
    <row r="351" ht="13" customHeight="1" s="30">
      <c r="AF351" s="16" t="n"/>
    </row>
    <row r="352" ht="13" customHeight="1" s="30">
      <c r="AF352" s="16" t="n"/>
    </row>
    <row r="353" ht="13" customHeight="1" s="30">
      <c r="AF353" s="16" t="n"/>
    </row>
    <row r="354" ht="13" customHeight="1" s="30">
      <c r="AF354" s="16" t="n"/>
    </row>
    <row r="355" ht="13" customHeight="1" s="30">
      <c r="AF355" s="16" t="n"/>
    </row>
    <row r="356" ht="13" customHeight="1" s="30">
      <c r="AF356" s="16" t="n"/>
    </row>
    <row r="357" ht="13" customHeight="1" s="30">
      <c r="AF357" s="16" t="n"/>
    </row>
    <row r="358" ht="13" customHeight="1" s="30">
      <c r="AF358" s="16" t="n"/>
    </row>
    <row r="359" ht="13" customHeight="1" s="30">
      <c r="AF359" s="16" t="n"/>
    </row>
    <row r="360" ht="13" customHeight="1" s="30">
      <c r="AF360" s="16" t="n"/>
    </row>
    <row r="361" ht="13" customHeight="1" s="30">
      <c r="AF361" s="16" t="n"/>
    </row>
    <row r="362" ht="13" customHeight="1" s="30">
      <c r="AF362" s="16" t="n"/>
    </row>
    <row r="363" ht="13" customHeight="1" s="30">
      <c r="AF363" s="16" t="n"/>
    </row>
    <row r="364" ht="13" customHeight="1" s="30">
      <c r="AF364" s="16" t="n"/>
    </row>
    <row r="365" ht="13" customHeight="1" s="30">
      <c r="AF365" s="16" t="n"/>
    </row>
    <row r="366" ht="13" customHeight="1" s="30">
      <c r="AF366" s="16" t="n"/>
    </row>
    <row r="367" ht="13" customHeight="1" s="30">
      <c r="AF367" s="16" t="n"/>
    </row>
    <row r="368" ht="13" customHeight="1" s="30">
      <c r="AF368" s="16" t="n"/>
    </row>
    <row r="369" ht="13" customHeight="1" s="30">
      <c r="AF369" s="16" t="n"/>
    </row>
    <row r="370" ht="13" customHeight="1" s="30">
      <c r="AF370" s="16" t="n"/>
    </row>
    <row r="371" ht="13" customHeight="1" s="30">
      <c r="AF371" s="16" t="n"/>
    </row>
    <row r="372" ht="13" customHeight="1" s="30">
      <c r="AF372" s="16" t="n"/>
    </row>
    <row r="373" ht="13" customHeight="1" s="30">
      <c r="AF373" s="16" t="n"/>
    </row>
    <row r="374" ht="13" customHeight="1" s="30">
      <c r="AF374" s="16" t="n"/>
    </row>
    <row r="375" ht="13" customHeight="1" s="30">
      <c r="AF375" s="16" t="n"/>
    </row>
    <row r="376" ht="13" customHeight="1" s="30">
      <c r="AF376" s="16" t="n"/>
    </row>
    <row r="377" ht="13" customHeight="1" s="30">
      <c r="AF377" s="16" t="n"/>
    </row>
    <row r="378" ht="13" customHeight="1" s="30">
      <c r="AF378" s="16" t="n"/>
    </row>
    <row r="379" ht="13" customHeight="1" s="30">
      <c r="AF379" s="16" t="n"/>
    </row>
    <row r="380" ht="13" customHeight="1" s="30">
      <c r="AF380" s="16" t="n"/>
    </row>
    <row r="381" ht="13" customHeight="1" s="30">
      <c r="AF381" s="16" t="n"/>
    </row>
    <row r="382" ht="13" customHeight="1" s="30">
      <c r="AF382" s="16" t="n"/>
    </row>
    <row r="383" ht="13" customHeight="1" s="30">
      <c r="AF383" s="16" t="n"/>
    </row>
    <row r="384" ht="13" customHeight="1" s="30">
      <c r="AF384" s="16" t="n"/>
    </row>
    <row r="385" ht="13" customHeight="1" s="30">
      <c r="AF385" s="16" t="n"/>
    </row>
    <row r="386" ht="13" customHeight="1" s="30">
      <c r="AF386" s="16" t="n"/>
    </row>
    <row r="387" ht="13" customHeight="1" s="30">
      <c r="AF387" s="16" t="n"/>
    </row>
    <row r="388" ht="13" customHeight="1" s="30">
      <c r="AF388" s="16" t="n"/>
    </row>
    <row r="389" ht="13" customHeight="1" s="30">
      <c r="AF389" s="16" t="n"/>
    </row>
    <row r="390" ht="13" customHeight="1" s="30">
      <c r="AF390" s="16" t="n"/>
    </row>
    <row r="391" ht="13" customHeight="1" s="30">
      <c r="AF391" s="16" t="n"/>
    </row>
    <row r="392" ht="13" customHeight="1" s="30">
      <c r="AF392" s="16" t="n"/>
    </row>
    <row r="393" ht="13" customHeight="1" s="30">
      <c r="AF393" s="16" t="n"/>
    </row>
    <row r="394" ht="13" customHeight="1" s="30">
      <c r="AF394" s="16" t="n"/>
    </row>
    <row r="395" ht="13" customHeight="1" s="30">
      <c r="AF395" s="16" t="n"/>
    </row>
    <row r="396" ht="13" customHeight="1" s="30">
      <c r="AF396" s="16" t="n"/>
    </row>
    <row r="397" ht="13" customHeight="1" s="30">
      <c r="AF397" s="16" t="n"/>
    </row>
    <row r="398" ht="13" customHeight="1" s="30">
      <c r="AF398" s="16" t="n"/>
    </row>
    <row r="399" ht="13" customHeight="1" s="30">
      <c r="AF399" s="16" t="n"/>
    </row>
    <row r="400" ht="13" customHeight="1" s="30">
      <c r="AF400" s="16" t="n"/>
    </row>
    <row r="401" ht="13" customHeight="1" s="30">
      <c r="AF401" s="16" t="n"/>
    </row>
    <row r="402" ht="13" customHeight="1" s="30">
      <c r="AF402" s="16" t="n"/>
    </row>
    <row r="403" ht="13" customHeight="1" s="30">
      <c r="AF403" s="16" t="n"/>
    </row>
    <row r="404" ht="13" customHeight="1" s="30">
      <c r="AF404" s="16" t="n"/>
    </row>
    <row r="405" ht="13" customHeight="1" s="30">
      <c r="AF405" s="16" t="n"/>
    </row>
    <row r="406" ht="13" customHeight="1" s="30">
      <c r="AF406" s="16" t="n"/>
    </row>
    <row r="407" ht="13" customHeight="1" s="30">
      <c r="AF407" s="16" t="n"/>
    </row>
    <row r="408" ht="13" customHeight="1" s="30">
      <c r="AF408" s="16" t="n"/>
    </row>
    <row r="409" ht="13" customHeight="1" s="30">
      <c r="AF409" s="16" t="n"/>
    </row>
    <row r="410" ht="13" customHeight="1" s="30">
      <c r="AF410" s="16" t="n"/>
    </row>
    <row r="411" ht="13" customHeight="1" s="30">
      <c r="AF411" s="16" t="n"/>
    </row>
    <row r="412" ht="13" customHeight="1" s="30">
      <c r="AF412" s="16" t="n"/>
    </row>
    <row r="413" ht="13" customHeight="1" s="30">
      <c r="AF413" s="16" t="n"/>
    </row>
    <row r="414" ht="13" customHeight="1" s="30">
      <c r="AF414" s="16" t="n"/>
    </row>
    <row r="415" ht="13" customHeight="1" s="30">
      <c r="AF415" s="16" t="n"/>
    </row>
    <row r="416" ht="13" customHeight="1" s="30">
      <c r="AF416" s="16" t="n"/>
    </row>
    <row r="417" ht="13" customHeight="1" s="30">
      <c r="AF417" s="16" t="n"/>
    </row>
    <row r="418" ht="13" customHeight="1" s="30">
      <c r="AF418" s="16" t="n"/>
    </row>
    <row r="419" ht="13" customHeight="1" s="30">
      <c r="AF419" s="16" t="n"/>
    </row>
    <row r="420" ht="13" customHeight="1" s="30">
      <c r="AF420" s="16" t="n"/>
    </row>
    <row r="421" ht="13" customHeight="1" s="30">
      <c r="AF421" s="16" t="n"/>
    </row>
    <row r="422" ht="13" customHeight="1" s="30">
      <c r="AF422" s="16" t="n"/>
    </row>
    <row r="423" ht="13" customHeight="1" s="30">
      <c r="AF423" s="16" t="n"/>
    </row>
    <row r="424" ht="13" customHeight="1" s="30">
      <c r="AF424" s="16" t="n"/>
    </row>
    <row r="425" ht="13" customHeight="1" s="30">
      <c r="AF425" s="16" t="n"/>
    </row>
    <row r="426" ht="13" customHeight="1" s="30">
      <c r="AF426" s="16" t="n"/>
    </row>
    <row r="427" ht="13" customHeight="1" s="30">
      <c r="AF427" s="16" t="n"/>
    </row>
    <row r="428" ht="13" customHeight="1" s="30">
      <c r="AF428" s="16" t="n"/>
    </row>
    <row r="429" ht="13" customHeight="1" s="30">
      <c r="AF429" s="16" t="n"/>
    </row>
    <row r="430" ht="13" customHeight="1" s="30">
      <c r="AF430" s="16" t="n"/>
    </row>
    <row r="431" ht="13" customHeight="1" s="30">
      <c r="AF431" s="16" t="n"/>
    </row>
    <row r="432" ht="13" customHeight="1" s="30">
      <c r="AF432" s="16" t="n"/>
    </row>
    <row r="433" ht="13" customHeight="1" s="30">
      <c r="AF433" s="16" t="n"/>
    </row>
    <row r="434" ht="13" customHeight="1" s="30">
      <c r="AF434" s="16" t="n"/>
    </row>
    <row r="435" ht="13" customHeight="1" s="30">
      <c r="AF435" s="16" t="n"/>
    </row>
    <row r="436" ht="13" customHeight="1" s="30">
      <c r="AF436" s="16" t="n"/>
    </row>
    <row r="437" ht="13" customHeight="1" s="30">
      <c r="AF437" s="16" t="n"/>
    </row>
    <row r="438" ht="13" customHeight="1" s="30">
      <c r="AF438" s="16" t="n"/>
    </row>
    <row r="439" ht="13" customHeight="1" s="30">
      <c r="AF439" s="16" t="n"/>
    </row>
    <row r="440" ht="13" customHeight="1" s="30">
      <c r="AF440" s="16" t="n"/>
    </row>
    <row r="441" ht="13" customHeight="1" s="30">
      <c r="AF441" s="16" t="n"/>
    </row>
    <row r="442" ht="13" customHeight="1" s="30">
      <c r="AF442" s="16" t="n"/>
    </row>
    <row r="443" ht="13" customHeight="1" s="30">
      <c r="AF443" s="16" t="n"/>
    </row>
    <row r="444" ht="13" customHeight="1" s="30">
      <c r="AF444" s="16" t="n"/>
    </row>
    <row r="445" ht="13" customHeight="1" s="30">
      <c r="AF445" s="16" t="n"/>
    </row>
    <row r="446" ht="13" customHeight="1" s="30">
      <c r="AF446" s="16" t="n"/>
    </row>
    <row r="447" ht="13" customHeight="1" s="30">
      <c r="AF447" s="16" t="n"/>
    </row>
    <row r="448" ht="13" customHeight="1" s="30">
      <c r="AF448" s="16" t="n"/>
    </row>
    <row r="449" ht="13" customHeight="1" s="30">
      <c r="AF449" s="16" t="n"/>
    </row>
    <row r="450" ht="13" customHeight="1" s="30">
      <c r="AF450" s="16" t="n"/>
    </row>
    <row r="451" ht="13" customHeight="1" s="30">
      <c r="AF451" s="16" t="n"/>
    </row>
    <row r="452" ht="13" customHeight="1" s="30">
      <c r="AF452" s="16" t="n"/>
    </row>
    <row r="453" ht="13" customHeight="1" s="30">
      <c r="AF453" s="16" t="n"/>
    </row>
    <row r="454" ht="13" customHeight="1" s="30">
      <c r="AF454" s="16" t="n"/>
    </row>
    <row r="455" ht="13" customHeight="1" s="30">
      <c r="AF455" s="16" t="n"/>
    </row>
    <row r="456" ht="13" customHeight="1" s="30">
      <c r="AF456" s="16" t="n"/>
    </row>
    <row r="457" ht="13" customHeight="1" s="30">
      <c r="AF457" s="16" t="n"/>
    </row>
    <row r="458" ht="13" customHeight="1" s="30">
      <c r="AF458" s="16" t="n"/>
    </row>
    <row r="459" ht="13" customHeight="1" s="30">
      <c r="AF459" s="16" t="n"/>
    </row>
    <row r="460" ht="13" customHeight="1" s="30">
      <c r="AF460" s="16" t="n"/>
    </row>
    <row r="461" ht="13" customHeight="1" s="30">
      <c r="AF461" s="16" t="n"/>
    </row>
    <row r="462" ht="13" customHeight="1" s="30">
      <c r="AF462" s="16" t="n"/>
    </row>
    <row r="463" ht="13" customHeight="1" s="30">
      <c r="AF463" s="16" t="n"/>
    </row>
    <row r="464" ht="13" customHeight="1" s="30">
      <c r="AF464" s="16" t="n"/>
    </row>
    <row r="465" ht="13" customHeight="1" s="30">
      <c r="AF465" s="16" t="n"/>
    </row>
    <row r="466" ht="13" customHeight="1" s="30">
      <c r="AF466" s="16" t="n"/>
    </row>
    <row r="467" ht="13" customHeight="1" s="30">
      <c r="AF467" s="16" t="n"/>
    </row>
    <row r="468" ht="13" customHeight="1" s="30">
      <c r="AF468" s="16" t="n"/>
    </row>
    <row r="469" ht="13" customHeight="1" s="30">
      <c r="AF469" s="16" t="n"/>
    </row>
    <row r="470" ht="13" customHeight="1" s="30">
      <c r="AF470" s="16" t="n"/>
    </row>
    <row r="471" ht="13" customHeight="1" s="30">
      <c r="AF471" s="16" t="n"/>
    </row>
    <row r="472" ht="13" customHeight="1" s="30">
      <c r="AF472" s="16" t="n"/>
    </row>
    <row r="473" ht="13" customHeight="1" s="30">
      <c r="AF473" s="16" t="n"/>
    </row>
    <row r="474" ht="13" customHeight="1" s="30">
      <c r="AF474" s="16" t="n"/>
    </row>
    <row r="475" ht="13" customHeight="1" s="30">
      <c r="AF475" s="16" t="n"/>
    </row>
    <row r="476" ht="13" customHeight="1" s="30">
      <c r="AF476" s="16" t="n"/>
    </row>
    <row r="477" ht="13" customHeight="1" s="30">
      <c r="AF477" s="16" t="n"/>
    </row>
    <row r="478" ht="13" customHeight="1" s="30">
      <c r="AF478" s="16" t="n"/>
    </row>
    <row r="479" ht="13" customHeight="1" s="30">
      <c r="AF479" s="16" t="n"/>
    </row>
    <row r="480" ht="13" customHeight="1" s="30">
      <c r="AF480" s="16" t="n"/>
    </row>
    <row r="481" ht="13" customHeight="1" s="30">
      <c r="AF481" s="16" t="n"/>
    </row>
    <row r="482" ht="13" customHeight="1" s="30">
      <c r="AF482" s="16" t="n"/>
    </row>
    <row r="483" ht="13" customHeight="1" s="30">
      <c r="AF483" s="16" t="n"/>
    </row>
    <row r="484" ht="13" customHeight="1" s="30">
      <c r="AF484" s="16" t="n"/>
    </row>
    <row r="485" ht="13" customHeight="1" s="30">
      <c r="AF485" s="16" t="n"/>
    </row>
    <row r="486" ht="13" customHeight="1" s="30">
      <c r="AF486" s="16" t="n"/>
    </row>
    <row r="487" ht="13" customHeight="1" s="30">
      <c r="AF487" s="16" t="n"/>
    </row>
    <row r="488" ht="13" customHeight="1" s="30">
      <c r="AF488" s="16" t="n"/>
    </row>
    <row r="489" ht="13" customHeight="1" s="30">
      <c r="AF489" s="16" t="n"/>
    </row>
    <row r="490" ht="13" customHeight="1" s="30">
      <c r="AF490" s="16" t="n"/>
    </row>
    <row r="491" ht="13" customHeight="1" s="30">
      <c r="AF491" s="16" t="n"/>
    </row>
    <row r="492" ht="13" customHeight="1" s="30">
      <c r="AF492" s="16" t="n"/>
    </row>
    <row r="493" ht="13" customHeight="1" s="30">
      <c r="AF493" s="16" t="n"/>
    </row>
    <row r="494" ht="13" customHeight="1" s="30">
      <c r="AF494" s="16" t="n"/>
    </row>
    <row r="495" ht="13" customHeight="1" s="30">
      <c r="AF495" s="16" t="n"/>
    </row>
    <row r="496" ht="13" customHeight="1" s="30">
      <c r="AF496" s="16" t="n"/>
    </row>
    <row r="497" ht="13" customHeight="1" s="30">
      <c r="AF497" s="16" t="n"/>
    </row>
    <row r="498" ht="13" customHeight="1" s="30">
      <c r="AF498" s="16" t="n"/>
    </row>
    <row r="499" ht="13" customHeight="1" s="30">
      <c r="AF499" s="16" t="n"/>
    </row>
    <row r="500" ht="13" customHeight="1" s="30">
      <c r="AF500" s="16" t="n"/>
    </row>
    <row r="501" ht="13" customHeight="1" s="30">
      <c r="AF501" s="16" t="n"/>
    </row>
    <row r="502" ht="13" customHeight="1" s="30">
      <c r="AF502" s="16" t="n"/>
    </row>
    <row r="503" ht="13" customHeight="1" s="30">
      <c r="AF503" s="16" t="n"/>
    </row>
    <row r="504" ht="13" customHeight="1" s="30">
      <c r="AF504" s="16" t="n"/>
    </row>
    <row r="505" ht="13" customHeight="1" s="30">
      <c r="AF505" s="16" t="n"/>
    </row>
    <row r="506" ht="13" customHeight="1" s="30">
      <c r="AF506" s="16" t="n"/>
    </row>
    <row r="507" ht="13" customHeight="1" s="30">
      <c r="AF507" s="16" t="n"/>
    </row>
    <row r="508" ht="13" customHeight="1" s="30">
      <c r="AF508" s="16" t="n"/>
    </row>
    <row r="509" ht="13" customHeight="1" s="30">
      <c r="AF509" s="16" t="n"/>
    </row>
    <row r="510" ht="13" customHeight="1" s="30">
      <c r="AF510" s="16" t="n"/>
    </row>
    <row r="511" ht="13" customHeight="1" s="30">
      <c r="AF511" s="16" t="n"/>
    </row>
    <row r="512" ht="13" customHeight="1" s="30">
      <c r="AF512" s="16" t="n"/>
    </row>
    <row r="513" ht="13" customHeight="1" s="30">
      <c r="AF513" s="16" t="n"/>
    </row>
    <row r="514" ht="13" customHeight="1" s="30">
      <c r="AF514" s="16" t="n"/>
    </row>
    <row r="515" ht="13" customHeight="1" s="30">
      <c r="AF515" s="16" t="n"/>
    </row>
    <row r="516" ht="13" customHeight="1" s="30">
      <c r="AF516" s="16" t="n"/>
    </row>
    <row r="517" ht="13" customHeight="1" s="30">
      <c r="AF517" s="16" t="n"/>
    </row>
    <row r="518" ht="13" customHeight="1" s="30">
      <c r="AF518" s="16" t="n"/>
    </row>
    <row r="519" ht="13" customHeight="1" s="30">
      <c r="AF519" s="16" t="n"/>
    </row>
    <row r="520" ht="13" customHeight="1" s="30">
      <c r="AF520" s="16" t="n"/>
    </row>
    <row r="521" ht="13" customHeight="1" s="30">
      <c r="AF521" s="16" t="n"/>
    </row>
    <row r="522" ht="13" customHeight="1" s="30">
      <c r="AF522" s="16" t="n"/>
    </row>
    <row r="523" ht="13" customHeight="1" s="30">
      <c r="AF523" s="16" t="n"/>
    </row>
    <row r="524" ht="13" customHeight="1" s="30">
      <c r="AF524" s="16" t="n"/>
    </row>
    <row r="525" ht="13" customHeight="1" s="30">
      <c r="AF525" s="16" t="n"/>
    </row>
    <row r="526" ht="13" customHeight="1" s="30">
      <c r="AF526" s="16" t="n"/>
    </row>
    <row r="527" ht="13" customHeight="1" s="30">
      <c r="AF527" s="16" t="n"/>
    </row>
    <row r="528" ht="13" customHeight="1" s="30">
      <c r="AF528" s="16" t="n"/>
    </row>
    <row r="529" ht="13" customHeight="1" s="30">
      <c r="AF529" s="16" t="n"/>
    </row>
    <row r="530" ht="13" customHeight="1" s="30">
      <c r="AF530" s="16" t="n"/>
    </row>
    <row r="531" ht="13" customHeight="1" s="30">
      <c r="AF531" s="16" t="n"/>
    </row>
    <row r="532" ht="13" customHeight="1" s="30">
      <c r="AF532" s="16" t="n"/>
    </row>
    <row r="533" ht="13" customHeight="1" s="30">
      <c r="AF533" s="16" t="n"/>
    </row>
    <row r="534" ht="13" customHeight="1" s="30">
      <c r="AF534" s="16" t="n"/>
    </row>
    <row r="535" ht="13" customHeight="1" s="30">
      <c r="AF535" s="16" t="n"/>
    </row>
    <row r="536" ht="13" customHeight="1" s="30">
      <c r="AF536" s="16" t="n"/>
    </row>
    <row r="537" ht="13" customHeight="1" s="30">
      <c r="AF537" s="16" t="n"/>
    </row>
    <row r="538" ht="13" customHeight="1" s="30">
      <c r="AF538" s="16" t="n"/>
    </row>
    <row r="539" ht="13" customHeight="1" s="30">
      <c r="AF539" s="16" t="n"/>
    </row>
    <row r="540" ht="13" customHeight="1" s="30">
      <c r="AF540" s="16" t="n"/>
    </row>
    <row r="541" ht="13" customHeight="1" s="30">
      <c r="AF541" s="16" t="n"/>
    </row>
    <row r="542" ht="13" customHeight="1" s="30">
      <c r="AF542" s="16" t="n"/>
    </row>
    <row r="543" ht="13" customHeight="1" s="30">
      <c r="AF543" s="16" t="n"/>
    </row>
    <row r="544" ht="13" customHeight="1" s="30">
      <c r="AF544" s="16" t="n"/>
    </row>
    <row r="545" ht="13" customHeight="1" s="30">
      <c r="AF545" s="16" t="n"/>
    </row>
    <row r="546" ht="13" customHeight="1" s="30">
      <c r="AF546" s="16" t="n"/>
    </row>
    <row r="547" ht="13" customHeight="1" s="30">
      <c r="AF547" s="16" t="n"/>
    </row>
    <row r="548" ht="13" customHeight="1" s="30">
      <c r="AF548" s="16" t="n"/>
    </row>
    <row r="549" ht="13" customHeight="1" s="30">
      <c r="AF549" s="16" t="n"/>
    </row>
    <row r="550" ht="13" customHeight="1" s="30">
      <c r="AF550" s="16" t="n"/>
    </row>
    <row r="551" ht="13" customHeight="1" s="30">
      <c r="AF551" s="16" t="n"/>
    </row>
    <row r="552" ht="13" customHeight="1" s="30">
      <c r="AF552" s="16" t="n"/>
    </row>
    <row r="553" ht="13" customHeight="1" s="30">
      <c r="AF553" s="16" t="n"/>
    </row>
    <row r="554" ht="13" customHeight="1" s="30">
      <c r="AF554" s="16" t="n"/>
    </row>
    <row r="555" ht="13" customHeight="1" s="30">
      <c r="AF555" s="16" t="n"/>
    </row>
    <row r="556" ht="13" customHeight="1" s="30">
      <c r="AF556" s="16" t="n"/>
    </row>
    <row r="557" ht="13" customHeight="1" s="30">
      <c r="AF557" s="16" t="n"/>
    </row>
    <row r="558" ht="13" customHeight="1" s="30">
      <c r="AF558" s="16" t="n"/>
    </row>
    <row r="559" ht="13" customHeight="1" s="30">
      <c r="AF559" s="16" t="n"/>
    </row>
    <row r="560" ht="13" customHeight="1" s="30">
      <c r="AF560" s="16" t="n"/>
    </row>
    <row r="561" ht="13" customHeight="1" s="30">
      <c r="AF561" s="16" t="n"/>
    </row>
    <row r="562" ht="13" customHeight="1" s="30">
      <c r="AF562" s="16" t="n"/>
    </row>
    <row r="563" ht="13" customHeight="1" s="30">
      <c r="AF563" s="16" t="n"/>
    </row>
    <row r="564" ht="13" customHeight="1" s="30">
      <c r="AF564" s="16" t="n"/>
    </row>
    <row r="565" ht="13" customHeight="1" s="30">
      <c r="AF565" s="16" t="n"/>
    </row>
    <row r="566" ht="13" customHeight="1" s="30">
      <c r="AF566" s="16" t="n"/>
    </row>
    <row r="567" ht="13" customHeight="1" s="30">
      <c r="AF567" s="16" t="n"/>
    </row>
    <row r="568" ht="13" customHeight="1" s="30">
      <c r="AF568" s="16" t="n"/>
    </row>
    <row r="569" ht="13" customHeight="1" s="30">
      <c r="AF569" s="16" t="n"/>
    </row>
    <row r="570" ht="13" customHeight="1" s="30">
      <c r="AF570" s="16" t="n"/>
    </row>
    <row r="571" ht="13" customHeight="1" s="30">
      <c r="AF571" s="16" t="n"/>
    </row>
    <row r="572" ht="13" customHeight="1" s="30">
      <c r="AF572" s="16" t="n"/>
    </row>
    <row r="573" ht="13" customHeight="1" s="30">
      <c r="AF573" s="16" t="n"/>
    </row>
    <row r="574" ht="13" customHeight="1" s="30">
      <c r="AF574" s="16" t="n"/>
    </row>
    <row r="575" ht="13" customHeight="1" s="30">
      <c r="AF575" s="16" t="n"/>
    </row>
    <row r="576" ht="13" customHeight="1" s="30">
      <c r="AF576" s="16" t="n"/>
    </row>
    <row r="577" ht="13" customHeight="1" s="30">
      <c r="AF577" s="16" t="n"/>
    </row>
    <row r="578" ht="13" customHeight="1" s="30">
      <c r="AF578" s="16" t="n"/>
    </row>
    <row r="579" ht="13" customHeight="1" s="30">
      <c r="AF579" s="16" t="n"/>
    </row>
    <row r="580" ht="13" customHeight="1" s="30">
      <c r="AF580" s="16" t="n"/>
    </row>
    <row r="581" ht="13" customHeight="1" s="30">
      <c r="AF581" s="16" t="n"/>
    </row>
    <row r="582" ht="13" customHeight="1" s="30">
      <c r="AF582" s="16" t="n"/>
    </row>
    <row r="583" ht="13" customHeight="1" s="30">
      <c r="AF583" s="16" t="n"/>
    </row>
    <row r="584" ht="13" customHeight="1" s="30">
      <c r="AF584" s="16" t="n"/>
    </row>
    <row r="585" ht="13" customHeight="1" s="30">
      <c r="AF585" s="16" t="n"/>
    </row>
    <row r="586" ht="13" customHeight="1" s="30">
      <c r="AF586" s="16" t="n"/>
    </row>
    <row r="587" ht="13" customHeight="1" s="30">
      <c r="AF587" s="16" t="n"/>
    </row>
    <row r="588" ht="13" customHeight="1" s="30">
      <c r="AF588" s="16" t="n"/>
    </row>
    <row r="589" ht="13" customHeight="1" s="30">
      <c r="AF589" s="16" t="n"/>
    </row>
    <row r="590" ht="13" customHeight="1" s="30">
      <c r="AF590" s="16" t="n"/>
    </row>
    <row r="591" ht="13" customHeight="1" s="30">
      <c r="AF591" s="16" t="n"/>
    </row>
    <row r="592" ht="13" customHeight="1" s="30">
      <c r="AF592" s="16" t="n"/>
    </row>
    <row r="593" ht="13" customHeight="1" s="30">
      <c r="AF593" s="16" t="n"/>
    </row>
    <row r="594" ht="13" customHeight="1" s="30">
      <c r="AF594" s="16" t="n"/>
    </row>
    <row r="595" ht="13" customHeight="1" s="30">
      <c r="AF595" s="16" t="n"/>
    </row>
    <row r="596" ht="13" customHeight="1" s="30">
      <c r="AF596" s="16" t="n"/>
    </row>
    <row r="597" ht="13" customHeight="1" s="30">
      <c r="AF597" s="16" t="n"/>
    </row>
    <row r="598" ht="13" customHeight="1" s="30">
      <c r="AF598" s="16" t="n"/>
    </row>
    <row r="599" ht="13" customHeight="1" s="30">
      <c r="AF599" s="16" t="n"/>
    </row>
    <row r="600" ht="13" customHeight="1" s="30">
      <c r="AF600" s="16" t="n"/>
    </row>
    <row r="601" ht="13" customHeight="1" s="30">
      <c r="AF601" s="16" t="n"/>
    </row>
    <row r="602" ht="13" customHeight="1" s="30">
      <c r="AF602" s="16" t="n"/>
    </row>
    <row r="603" ht="13" customHeight="1" s="30">
      <c r="AF603" s="16" t="n"/>
    </row>
    <row r="604" ht="13" customHeight="1" s="30">
      <c r="AF604" s="16" t="n"/>
    </row>
    <row r="605" ht="13" customHeight="1" s="30">
      <c r="AF605" s="16" t="n"/>
    </row>
    <row r="606" ht="13" customHeight="1" s="30">
      <c r="AF606" s="16" t="n"/>
    </row>
    <row r="607" ht="13" customHeight="1" s="30">
      <c r="AF607" s="16" t="n"/>
    </row>
    <row r="608" ht="13" customHeight="1" s="30">
      <c r="AF608" s="16" t="n"/>
    </row>
    <row r="609" ht="13" customHeight="1" s="30">
      <c r="AF609" s="16" t="n"/>
    </row>
    <row r="610" ht="13" customHeight="1" s="30">
      <c r="AF610" s="16" t="n"/>
    </row>
    <row r="611" ht="13" customHeight="1" s="30">
      <c r="AF611" s="16" t="n"/>
    </row>
    <row r="612" ht="13" customHeight="1" s="30">
      <c r="AF612" s="16" t="n"/>
    </row>
    <row r="613" ht="13" customHeight="1" s="30">
      <c r="AF613" s="16" t="n"/>
    </row>
    <row r="614" ht="13" customHeight="1" s="30">
      <c r="AF614" s="16" t="n"/>
    </row>
    <row r="615" ht="13" customHeight="1" s="30">
      <c r="AF615" s="16" t="n"/>
    </row>
    <row r="616" ht="13" customHeight="1" s="30">
      <c r="AF616" s="16" t="n"/>
    </row>
    <row r="617" ht="13" customHeight="1" s="30">
      <c r="AF617" s="16" t="n"/>
    </row>
    <row r="618" ht="13" customHeight="1" s="30">
      <c r="AF618" s="16" t="n"/>
    </row>
    <row r="619" ht="13" customHeight="1" s="30">
      <c r="AF619" s="16" t="n"/>
    </row>
    <row r="620" ht="13" customHeight="1" s="30">
      <c r="AF620" s="16" t="n"/>
    </row>
    <row r="621" ht="13" customHeight="1" s="30">
      <c r="AF621" s="16" t="n"/>
    </row>
    <row r="622" ht="13" customHeight="1" s="30">
      <c r="AF622" s="16" t="n"/>
    </row>
    <row r="623" ht="13" customHeight="1" s="30">
      <c r="AF623" s="16" t="n"/>
    </row>
    <row r="624" ht="13" customHeight="1" s="30">
      <c r="AF624" s="16" t="n"/>
    </row>
    <row r="625" ht="13" customHeight="1" s="30">
      <c r="AF625" s="16" t="n"/>
    </row>
    <row r="626" ht="13" customHeight="1" s="30">
      <c r="AF626" s="16" t="n"/>
    </row>
    <row r="627" ht="13" customHeight="1" s="30">
      <c r="AF627" s="16" t="n"/>
    </row>
    <row r="628" ht="13" customHeight="1" s="30">
      <c r="AF628" s="16" t="n"/>
    </row>
    <row r="629" ht="13" customHeight="1" s="30">
      <c r="AF629" s="16" t="n"/>
    </row>
    <row r="630" ht="13" customHeight="1" s="30">
      <c r="AF630" s="16" t="n"/>
    </row>
    <row r="631" ht="13" customHeight="1" s="30">
      <c r="AF631" s="16" t="n"/>
    </row>
    <row r="632" ht="13" customHeight="1" s="30">
      <c r="AF632" s="16" t="n"/>
    </row>
    <row r="633" ht="13" customHeight="1" s="30">
      <c r="AF633" s="16" t="n"/>
    </row>
    <row r="634" ht="13" customHeight="1" s="30">
      <c r="AF634" s="16" t="n"/>
    </row>
    <row r="635" ht="13" customHeight="1" s="30">
      <c r="AF635" s="16" t="n"/>
    </row>
    <row r="636" ht="13" customHeight="1" s="30">
      <c r="AF636" s="16" t="n"/>
    </row>
    <row r="637" ht="13" customHeight="1" s="30">
      <c r="AF637" s="16" t="n"/>
    </row>
    <row r="638" ht="13" customHeight="1" s="30">
      <c r="AF638" s="16" t="n"/>
    </row>
    <row r="639" ht="13" customHeight="1" s="30">
      <c r="AF639" s="16" t="n"/>
    </row>
    <row r="640" ht="13" customHeight="1" s="30">
      <c r="AF640" s="16" t="n"/>
    </row>
    <row r="641" ht="13" customHeight="1" s="30">
      <c r="AF641" s="16" t="n"/>
    </row>
    <row r="642" ht="13" customHeight="1" s="30">
      <c r="AF642" s="16" t="n"/>
    </row>
    <row r="643" ht="13" customHeight="1" s="30">
      <c r="AF643" s="16" t="n"/>
    </row>
    <row r="644" ht="13" customHeight="1" s="30">
      <c r="AF644" s="16" t="n"/>
    </row>
    <row r="645" ht="13" customHeight="1" s="30">
      <c r="AF645" s="16" t="n"/>
    </row>
    <row r="646" ht="13" customHeight="1" s="30">
      <c r="AF646" s="16" t="n"/>
    </row>
    <row r="647" ht="13" customHeight="1" s="30">
      <c r="AF647" s="16" t="n"/>
    </row>
    <row r="648" ht="13" customHeight="1" s="30">
      <c r="AF648" s="16" t="n"/>
    </row>
    <row r="649" ht="13" customHeight="1" s="30">
      <c r="AF649" s="16" t="n"/>
    </row>
    <row r="650" ht="13" customHeight="1" s="30">
      <c r="AF650" s="16" t="n"/>
    </row>
    <row r="651" ht="13" customHeight="1" s="30">
      <c r="AF651" s="16" t="n"/>
    </row>
    <row r="652" ht="13" customHeight="1" s="30">
      <c r="AF652" s="16" t="n"/>
    </row>
    <row r="653" ht="13" customHeight="1" s="30">
      <c r="AF653" s="16" t="n"/>
    </row>
    <row r="654" ht="13" customHeight="1" s="30">
      <c r="AF654" s="16" t="n"/>
    </row>
    <row r="655" ht="13" customHeight="1" s="30">
      <c r="AF655" s="16" t="n"/>
    </row>
    <row r="656" ht="13" customHeight="1" s="30">
      <c r="AF656" s="16" t="n"/>
    </row>
    <row r="657" ht="13" customHeight="1" s="30">
      <c r="AF657" s="16" t="n"/>
    </row>
    <row r="658" ht="13" customHeight="1" s="30">
      <c r="AF658" s="16" t="n"/>
    </row>
    <row r="659" ht="13" customHeight="1" s="30">
      <c r="AF659" s="16" t="n"/>
    </row>
    <row r="660" ht="13" customHeight="1" s="30">
      <c r="AF660" s="16" t="n"/>
    </row>
    <row r="661" ht="13" customHeight="1" s="30">
      <c r="AF661" s="16" t="n"/>
    </row>
    <row r="662" ht="13" customHeight="1" s="30">
      <c r="AF662" s="16" t="n"/>
    </row>
    <row r="663" ht="13" customHeight="1" s="30">
      <c r="AF663" s="16" t="n"/>
    </row>
    <row r="664" ht="13" customHeight="1" s="30">
      <c r="AF664" s="16" t="n"/>
    </row>
    <row r="665" ht="13" customHeight="1" s="30">
      <c r="AF665" s="16" t="n"/>
    </row>
    <row r="666" ht="13" customHeight="1" s="30">
      <c r="AF666" s="16" t="n"/>
    </row>
    <row r="667" ht="13" customHeight="1" s="30">
      <c r="AF667" s="16" t="n"/>
    </row>
    <row r="668" ht="13" customHeight="1" s="30">
      <c r="AF668" s="16" t="n"/>
    </row>
    <row r="669" ht="13" customHeight="1" s="30">
      <c r="AF669" s="16" t="n"/>
    </row>
    <row r="670" ht="13" customHeight="1" s="30">
      <c r="AF670" s="16" t="n"/>
    </row>
    <row r="671" ht="13" customHeight="1" s="30">
      <c r="AF671" s="16" t="n"/>
    </row>
    <row r="672" ht="13" customHeight="1" s="30">
      <c r="AF672" s="16" t="n"/>
    </row>
    <row r="673" ht="13" customHeight="1" s="30">
      <c r="AF673" s="16" t="n"/>
    </row>
    <row r="674" ht="13" customHeight="1" s="30">
      <c r="AF674" s="16" t="n"/>
    </row>
    <row r="675" ht="13" customHeight="1" s="30">
      <c r="AF675" s="16" t="n"/>
    </row>
    <row r="676" ht="13" customHeight="1" s="30">
      <c r="AF676" s="16" t="n"/>
    </row>
    <row r="677" ht="13" customHeight="1" s="30">
      <c r="AF677" s="16" t="n"/>
    </row>
    <row r="678" ht="13" customHeight="1" s="30">
      <c r="AF678" s="16" t="n"/>
    </row>
    <row r="679" ht="13" customHeight="1" s="30">
      <c r="AF679" s="16" t="n"/>
    </row>
    <row r="680" ht="13" customHeight="1" s="30">
      <c r="AF680" s="16" t="n"/>
    </row>
    <row r="681" ht="13" customHeight="1" s="30">
      <c r="AF681" s="16" t="n"/>
    </row>
    <row r="682" ht="13" customHeight="1" s="30">
      <c r="AF682" s="16" t="n"/>
    </row>
    <row r="683" ht="13" customHeight="1" s="30">
      <c r="AF683" s="16" t="n"/>
    </row>
    <row r="684" ht="13" customHeight="1" s="30">
      <c r="AF684" s="16" t="n"/>
    </row>
    <row r="685" ht="13" customHeight="1" s="30">
      <c r="AF685" s="16" t="n"/>
    </row>
    <row r="686" ht="13" customHeight="1" s="30">
      <c r="AF686" s="16" t="n"/>
    </row>
    <row r="687" ht="13" customHeight="1" s="30">
      <c r="AF687" s="16" t="n"/>
    </row>
    <row r="688" ht="13" customHeight="1" s="30">
      <c r="AF688" s="16" t="n"/>
    </row>
    <row r="689" ht="13" customHeight="1" s="30">
      <c r="AF689" s="16" t="n"/>
    </row>
    <row r="690" ht="13" customHeight="1" s="30">
      <c r="AF690" s="16" t="n"/>
    </row>
    <row r="691" ht="13" customHeight="1" s="30">
      <c r="AF691" s="16" t="n"/>
    </row>
    <row r="692" ht="13" customHeight="1" s="30">
      <c r="AF692" s="16" t="n"/>
    </row>
    <row r="693" ht="13" customHeight="1" s="30">
      <c r="AF693" s="16" t="n"/>
    </row>
    <row r="694" ht="13" customHeight="1" s="30">
      <c r="AF694" s="16" t="n"/>
    </row>
    <row r="695" ht="13" customHeight="1" s="30">
      <c r="AF695" s="16" t="n"/>
    </row>
    <row r="696" ht="13" customHeight="1" s="30">
      <c r="AF696" s="16" t="n"/>
    </row>
    <row r="697" ht="13" customHeight="1" s="30">
      <c r="AF697" s="16" t="n"/>
    </row>
    <row r="698" ht="13" customHeight="1" s="30">
      <c r="AF698" s="16" t="n"/>
    </row>
    <row r="699" ht="13" customHeight="1" s="30">
      <c r="AF699" s="16" t="n"/>
    </row>
    <row r="700" ht="13" customHeight="1" s="30">
      <c r="AF700" s="16" t="n"/>
    </row>
    <row r="701" ht="13" customHeight="1" s="30">
      <c r="AF701" s="16" t="n"/>
    </row>
    <row r="702" ht="13" customHeight="1" s="30">
      <c r="AF702" s="16" t="n"/>
    </row>
    <row r="703" ht="13" customHeight="1" s="30">
      <c r="AF703" s="16" t="n"/>
    </row>
    <row r="704" ht="13" customHeight="1" s="30">
      <c r="AF704" s="16" t="n"/>
    </row>
    <row r="705" ht="13" customHeight="1" s="30">
      <c r="AF705" s="16" t="n"/>
    </row>
    <row r="706" ht="13" customHeight="1" s="30">
      <c r="AF706" s="16" t="n"/>
    </row>
    <row r="707" ht="13" customHeight="1" s="30">
      <c r="AF707" s="16" t="n"/>
    </row>
    <row r="708" ht="13" customHeight="1" s="30">
      <c r="AF708" s="16" t="n"/>
    </row>
    <row r="709" ht="13" customHeight="1" s="30">
      <c r="AF709" s="16" t="n"/>
    </row>
    <row r="710" ht="13" customHeight="1" s="30">
      <c r="AF710" s="16" t="n"/>
    </row>
    <row r="711" ht="13" customHeight="1" s="30">
      <c r="AF711" s="16" t="n"/>
    </row>
    <row r="712" ht="13" customHeight="1" s="30">
      <c r="AF712" s="16" t="n"/>
    </row>
    <row r="713" ht="13" customHeight="1" s="30">
      <c r="AF713" s="16" t="n"/>
    </row>
    <row r="714" ht="13" customHeight="1" s="30">
      <c r="AF714" s="16" t="n"/>
    </row>
    <row r="715" ht="13" customHeight="1" s="30">
      <c r="AF715" s="16" t="n"/>
    </row>
    <row r="716" ht="13" customHeight="1" s="30">
      <c r="AF716" s="16" t="n"/>
    </row>
    <row r="717" ht="13" customHeight="1" s="30">
      <c r="AF717" s="16" t="n"/>
    </row>
    <row r="718" ht="13" customHeight="1" s="30">
      <c r="AF718" s="16" t="n"/>
    </row>
    <row r="719" ht="13" customHeight="1" s="30">
      <c r="AF719" s="16" t="n"/>
    </row>
    <row r="720" ht="13" customHeight="1" s="30">
      <c r="AF720" s="16" t="n"/>
    </row>
    <row r="721" ht="13" customHeight="1" s="30">
      <c r="AF721" s="16" t="n"/>
    </row>
    <row r="722" ht="13" customHeight="1" s="30">
      <c r="AF722" s="16" t="n"/>
    </row>
    <row r="723" ht="13" customHeight="1" s="30">
      <c r="AF723" s="16" t="n"/>
    </row>
    <row r="724" ht="13" customHeight="1" s="30">
      <c r="AF724" s="16" t="n"/>
    </row>
    <row r="725" ht="13" customHeight="1" s="30">
      <c r="AF725" s="16" t="n"/>
    </row>
    <row r="726" ht="13" customHeight="1" s="30">
      <c r="AF726" s="16" t="n"/>
    </row>
    <row r="727" ht="13" customHeight="1" s="30">
      <c r="AF727" s="16" t="n"/>
    </row>
    <row r="728" ht="13" customHeight="1" s="30">
      <c r="AF728" s="16" t="n"/>
    </row>
    <row r="729" ht="13" customHeight="1" s="30">
      <c r="AF729" s="16" t="n"/>
    </row>
    <row r="730" ht="13" customHeight="1" s="30">
      <c r="AF730" s="16" t="n"/>
    </row>
    <row r="731" ht="13" customHeight="1" s="30">
      <c r="AF731" s="16" t="n"/>
    </row>
    <row r="732" ht="13" customHeight="1" s="30">
      <c r="AF732" s="16" t="n"/>
    </row>
    <row r="733" ht="13" customHeight="1" s="30">
      <c r="AF733" s="16" t="n"/>
    </row>
    <row r="734" ht="13" customHeight="1" s="30">
      <c r="AF734" s="16" t="n"/>
    </row>
    <row r="735" ht="13" customHeight="1" s="30">
      <c r="AF735" s="16" t="n"/>
    </row>
    <row r="736" ht="13" customHeight="1" s="30">
      <c r="AF736" s="16" t="n"/>
    </row>
    <row r="737" ht="13" customHeight="1" s="30">
      <c r="AF737" s="16" t="n"/>
    </row>
    <row r="738" ht="13" customHeight="1" s="30">
      <c r="AF738" s="16" t="n"/>
    </row>
    <row r="739" ht="13" customHeight="1" s="30">
      <c r="AF739" s="16" t="n"/>
    </row>
    <row r="740" ht="13" customHeight="1" s="30">
      <c r="AF740" s="16" t="n"/>
    </row>
    <row r="741" ht="13" customHeight="1" s="30">
      <c r="AF741" s="16" t="n"/>
    </row>
    <row r="742" ht="13" customHeight="1" s="30">
      <c r="AF742" s="16" t="n"/>
    </row>
    <row r="743" ht="13" customHeight="1" s="30">
      <c r="AF743" s="16" t="n"/>
    </row>
    <row r="744" ht="13" customHeight="1" s="30">
      <c r="AF744" s="16" t="n"/>
    </row>
    <row r="745" ht="13" customHeight="1" s="30">
      <c r="AF745" s="16" t="n"/>
    </row>
    <row r="746" ht="13" customHeight="1" s="30">
      <c r="AF746" s="16" t="n"/>
    </row>
    <row r="747" ht="13" customHeight="1" s="30">
      <c r="AF747" s="16" t="n"/>
    </row>
    <row r="748" ht="13" customHeight="1" s="30">
      <c r="AF748" s="16" t="n"/>
    </row>
    <row r="749" ht="13" customHeight="1" s="30">
      <c r="AF749" s="16" t="n"/>
    </row>
    <row r="750" ht="13" customHeight="1" s="30">
      <c r="AF750" s="16" t="n"/>
    </row>
    <row r="751" ht="13" customHeight="1" s="30">
      <c r="AF751" s="16" t="n"/>
    </row>
    <row r="752" ht="13" customHeight="1" s="30">
      <c r="AF752" s="16" t="n"/>
    </row>
    <row r="753" ht="13" customHeight="1" s="30">
      <c r="AF753" s="16" t="n"/>
    </row>
    <row r="754" ht="13" customHeight="1" s="30">
      <c r="AF754" s="16" t="n"/>
    </row>
    <row r="755" ht="13" customHeight="1" s="30">
      <c r="AF755" s="16" t="n"/>
    </row>
    <row r="756" ht="13" customHeight="1" s="30">
      <c r="AF756" s="16" t="n"/>
    </row>
    <row r="757" ht="13" customHeight="1" s="30">
      <c r="AF757" s="16" t="n"/>
    </row>
    <row r="758" ht="13" customHeight="1" s="30">
      <c r="AF758" s="16" t="n"/>
    </row>
    <row r="759" ht="13" customHeight="1" s="30">
      <c r="AF759" s="16" t="n"/>
    </row>
    <row r="760" ht="13" customHeight="1" s="30">
      <c r="AF760" s="16" t="n"/>
    </row>
    <row r="761" ht="13" customHeight="1" s="30">
      <c r="AF761" s="16" t="n"/>
    </row>
    <row r="762" ht="13" customHeight="1" s="30">
      <c r="AF762" s="16" t="n"/>
    </row>
    <row r="763" ht="13" customHeight="1" s="30">
      <c r="AF763" s="16" t="n"/>
    </row>
    <row r="764" ht="13" customHeight="1" s="30">
      <c r="AF764" s="16" t="n"/>
    </row>
    <row r="765" ht="13" customHeight="1" s="30">
      <c r="AF765" s="16" t="n"/>
    </row>
    <row r="766" ht="13" customHeight="1" s="30">
      <c r="AF766" s="16" t="n"/>
    </row>
    <row r="767" ht="13" customHeight="1" s="30">
      <c r="AF767" s="16" t="n"/>
    </row>
    <row r="768" ht="13" customHeight="1" s="30">
      <c r="AF768" s="16" t="n"/>
    </row>
    <row r="769" ht="13" customHeight="1" s="30">
      <c r="AF769" s="16" t="n"/>
    </row>
    <row r="770" ht="13" customHeight="1" s="30">
      <c r="AF770" s="16" t="n"/>
    </row>
    <row r="771" ht="13" customHeight="1" s="30">
      <c r="AF771" s="16" t="n"/>
    </row>
    <row r="772" ht="13" customHeight="1" s="30">
      <c r="AF772" s="16" t="n"/>
    </row>
    <row r="773" ht="13" customHeight="1" s="30">
      <c r="AF773" s="16" t="n"/>
    </row>
    <row r="774" ht="13" customHeight="1" s="30">
      <c r="AF774" s="16" t="n"/>
    </row>
    <row r="775" ht="13" customHeight="1" s="30">
      <c r="AF775" s="16" t="n"/>
    </row>
    <row r="776" ht="13" customHeight="1" s="30">
      <c r="AF776" s="16" t="n"/>
    </row>
    <row r="777" ht="13" customHeight="1" s="30">
      <c r="AF777" s="16" t="n"/>
    </row>
    <row r="778" ht="13" customHeight="1" s="30">
      <c r="AF778" s="16" t="n"/>
    </row>
    <row r="779" ht="13" customHeight="1" s="30">
      <c r="AF779" s="16" t="n"/>
    </row>
    <row r="780" ht="13" customHeight="1" s="30">
      <c r="AF780" s="16" t="n"/>
    </row>
    <row r="781" ht="13" customHeight="1" s="30">
      <c r="AF781" s="16" t="n"/>
    </row>
    <row r="782" ht="13" customHeight="1" s="30">
      <c r="AF782" s="16" t="n"/>
    </row>
    <row r="783" ht="13" customHeight="1" s="30">
      <c r="AF783" s="16" t="n"/>
    </row>
    <row r="784" ht="13" customHeight="1" s="30">
      <c r="AF784" s="16" t="n"/>
    </row>
    <row r="785" ht="13" customHeight="1" s="30">
      <c r="AF785" s="16" t="n"/>
    </row>
    <row r="786" ht="13" customHeight="1" s="30">
      <c r="AF786" s="16" t="n"/>
    </row>
    <row r="787" ht="13" customHeight="1" s="30">
      <c r="AF787" s="16" t="n"/>
    </row>
    <row r="788" ht="13" customHeight="1" s="30">
      <c r="AF788" s="16" t="n"/>
    </row>
    <row r="789" ht="13" customHeight="1" s="30">
      <c r="AF789" s="16" t="n"/>
    </row>
    <row r="790" ht="13" customHeight="1" s="30">
      <c r="AF790" s="16" t="n"/>
    </row>
    <row r="791" ht="13" customHeight="1" s="30">
      <c r="AF791" s="16" t="n"/>
    </row>
    <row r="792" ht="13" customHeight="1" s="30">
      <c r="AF792" s="16" t="n"/>
    </row>
    <row r="793" ht="13" customHeight="1" s="30">
      <c r="AF793" s="16" t="n"/>
    </row>
    <row r="794" ht="13" customHeight="1" s="30">
      <c r="AF794" s="16" t="n"/>
    </row>
    <row r="795" ht="13" customHeight="1" s="30">
      <c r="AF795" s="16" t="n"/>
    </row>
    <row r="796" ht="13" customHeight="1" s="30">
      <c r="AF796" s="16" t="n"/>
    </row>
    <row r="797" ht="13" customHeight="1" s="30">
      <c r="AF797" s="16" t="n"/>
    </row>
    <row r="798" ht="13" customHeight="1" s="30">
      <c r="AF798" s="16" t="n"/>
    </row>
    <row r="799" ht="13" customHeight="1" s="30">
      <c r="AF799" s="16" t="n"/>
    </row>
    <row r="800" ht="13" customHeight="1" s="30">
      <c r="AF800" s="16" t="n"/>
    </row>
    <row r="801" ht="13" customHeight="1" s="30">
      <c r="AF801" s="16" t="n"/>
    </row>
    <row r="802" ht="13" customHeight="1" s="30">
      <c r="AF802" s="16" t="n"/>
    </row>
    <row r="803" ht="13" customHeight="1" s="30">
      <c r="AF803" s="16" t="n"/>
    </row>
    <row r="804" ht="13" customHeight="1" s="30">
      <c r="AF804" s="16" t="n"/>
    </row>
    <row r="805" ht="13" customHeight="1" s="30">
      <c r="AF805" s="16" t="n"/>
    </row>
    <row r="806" ht="13" customHeight="1" s="30">
      <c r="AF806" s="16" t="n"/>
    </row>
    <row r="807" ht="13" customHeight="1" s="30">
      <c r="AF807" s="16" t="n"/>
    </row>
    <row r="808" ht="13" customHeight="1" s="30">
      <c r="AF808" s="16" t="n"/>
    </row>
    <row r="809" ht="13" customHeight="1" s="30">
      <c r="AF809" s="16" t="n"/>
    </row>
    <row r="810" ht="13" customHeight="1" s="30">
      <c r="AF810" s="16" t="n"/>
    </row>
    <row r="811" ht="13" customHeight="1" s="30">
      <c r="AF811" s="16" t="n"/>
    </row>
    <row r="812" ht="13" customHeight="1" s="30">
      <c r="AF812" s="16" t="n"/>
    </row>
    <row r="813" ht="13" customHeight="1" s="30">
      <c r="AF813" s="16" t="n"/>
    </row>
    <row r="814" ht="13" customHeight="1" s="30">
      <c r="AF814" s="16" t="n"/>
    </row>
    <row r="815" ht="13" customHeight="1" s="30">
      <c r="AF815" s="16" t="n"/>
    </row>
    <row r="816" ht="13" customHeight="1" s="30">
      <c r="AF816" s="16" t="n"/>
    </row>
    <row r="817" ht="13" customHeight="1" s="30">
      <c r="AF817" s="16" t="n"/>
    </row>
    <row r="818" ht="13" customHeight="1" s="30">
      <c r="AF818" s="16" t="n"/>
    </row>
    <row r="819" ht="13" customHeight="1" s="30">
      <c r="AF819" s="16" t="n"/>
    </row>
    <row r="820" ht="13" customHeight="1" s="30">
      <c r="AF820" s="16" t="n"/>
    </row>
    <row r="821" ht="13" customHeight="1" s="30">
      <c r="AF821" s="16" t="n"/>
    </row>
    <row r="822" ht="13" customHeight="1" s="30">
      <c r="AF822" s="16" t="n"/>
    </row>
    <row r="823" ht="13" customHeight="1" s="30">
      <c r="AF823" s="16" t="n"/>
    </row>
    <row r="824" ht="13" customHeight="1" s="30">
      <c r="AF824" s="16" t="n"/>
    </row>
    <row r="825" ht="13" customHeight="1" s="30">
      <c r="AF825" s="16" t="n"/>
    </row>
    <row r="826" ht="13" customHeight="1" s="30">
      <c r="AF826" s="16" t="n"/>
    </row>
    <row r="827" ht="13" customHeight="1" s="30">
      <c r="AF827" s="16" t="n"/>
    </row>
    <row r="828" ht="13" customHeight="1" s="30">
      <c r="AF828" s="16" t="n"/>
    </row>
    <row r="829" ht="13" customHeight="1" s="30">
      <c r="AF829" s="16" t="n"/>
    </row>
    <row r="830" ht="13" customHeight="1" s="30">
      <c r="AF830" s="16" t="n"/>
    </row>
    <row r="831" ht="13" customHeight="1" s="30">
      <c r="AF831" s="16" t="n"/>
    </row>
    <row r="832" ht="13" customHeight="1" s="30">
      <c r="AF832" s="16" t="n"/>
    </row>
    <row r="833" ht="13" customHeight="1" s="30">
      <c r="AF833" s="16" t="n"/>
    </row>
    <row r="834" ht="13" customHeight="1" s="30">
      <c r="AF834" s="16" t="n"/>
    </row>
    <row r="835" ht="13" customHeight="1" s="30">
      <c r="AF835" s="16" t="n"/>
    </row>
    <row r="836" ht="13" customHeight="1" s="30">
      <c r="AF836" s="16" t="n"/>
    </row>
    <row r="837" ht="13" customHeight="1" s="30">
      <c r="AF837" s="16" t="n"/>
    </row>
    <row r="838" ht="13" customHeight="1" s="30">
      <c r="AF838" s="16" t="n"/>
    </row>
    <row r="839" ht="13" customHeight="1" s="30">
      <c r="AF839" s="16" t="n"/>
    </row>
    <row r="840" ht="13" customHeight="1" s="30">
      <c r="AF840" s="16" t="n"/>
    </row>
    <row r="841" ht="13" customHeight="1" s="30">
      <c r="AF841" s="16" t="n"/>
    </row>
    <row r="842" ht="13" customHeight="1" s="30">
      <c r="AF842" s="16" t="n"/>
    </row>
    <row r="843" ht="13" customHeight="1" s="30">
      <c r="AF843" s="16" t="n"/>
    </row>
    <row r="844" ht="13" customHeight="1" s="30">
      <c r="AF844" s="16" t="n"/>
    </row>
    <row r="845" ht="13" customHeight="1" s="30">
      <c r="AF845" s="16" t="n"/>
    </row>
    <row r="846" ht="13" customHeight="1" s="30">
      <c r="AF846" s="16" t="n"/>
    </row>
    <row r="847" ht="13" customHeight="1" s="30">
      <c r="AF847" s="16" t="n"/>
    </row>
    <row r="848" ht="13" customHeight="1" s="30">
      <c r="AF848" s="16" t="n"/>
    </row>
    <row r="849" ht="13" customHeight="1" s="30">
      <c r="AF849" s="16" t="n"/>
    </row>
    <row r="850" ht="13" customHeight="1" s="30">
      <c r="AF850" s="16" t="n"/>
    </row>
    <row r="851" ht="13" customHeight="1" s="30">
      <c r="AF851" s="16" t="n"/>
    </row>
    <row r="852" ht="13" customHeight="1" s="30">
      <c r="AF852" s="16" t="n"/>
    </row>
    <row r="853" ht="13" customHeight="1" s="30">
      <c r="AF853" s="16" t="n"/>
    </row>
    <row r="854" ht="13" customHeight="1" s="30">
      <c r="AF854" s="16" t="n"/>
    </row>
    <row r="855" ht="13" customHeight="1" s="30">
      <c r="AF855" s="16" t="n"/>
    </row>
    <row r="856" ht="13" customHeight="1" s="30">
      <c r="AF856" s="16" t="n"/>
    </row>
    <row r="857" ht="13" customHeight="1" s="30">
      <c r="AF857" s="16" t="n"/>
    </row>
    <row r="858" ht="13" customHeight="1" s="30">
      <c r="AF858" s="16" t="n"/>
    </row>
    <row r="859" ht="13" customHeight="1" s="30">
      <c r="AF859" s="16" t="n"/>
    </row>
    <row r="860" ht="13" customHeight="1" s="30">
      <c r="AF860" s="16" t="n"/>
    </row>
    <row r="861" ht="13" customHeight="1" s="30">
      <c r="AF861" s="16" t="n"/>
    </row>
    <row r="862" ht="13" customHeight="1" s="30">
      <c r="AF862" s="16" t="n"/>
    </row>
    <row r="863" ht="13" customHeight="1" s="30">
      <c r="AF863" s="16" t="n"/>
    </row>
    <row r="864" ht="13" customHeight="1" s="30">
      <c r="AF864" s="16" t="n"/>
    </row>
    <row r="865" ht="13" customHeight="1" s="30">
      <c r="AF865" s="16" t="n"/>
    </row>
    <row r="866" ht="13" customHeight="1" s="30">
      <c r="AF866" s="16" t="n"/>
    </row>
    <row r="867" ht="13" customHeight="1" s="30">
      <c r="AF867" s="16" t="n"/>
    </row>
    <row r="868" ht="13" customHeight="1" s="30">
      <c r="AF868" s="16" t="n"/>
    </row>
    <row r="869" ht="13" customHeight="1" s="30">
      <c r="AF869" s="16" t="n"/>
    </row>
    <row r="870" ht="13" customHeight="1" s="30">
      <c r="AF870" s="16" t="n"/>
    </row>
    <row r="871" ht="13" customHeight="1" s="30">
      <c r="AF871" s="16" t="n"/>
    </row>
    <row r="872" ht="13" customHeight="1" s="30">
      <c r="AF872" s="16" t="n"/>
    </row>
    <row r="873" ht="13" customHeight="1" s="30">
      <c r="AF873" s="16" t="n"/>
    </row>
    <row r="874" ht="13" customHeight="1" s="30">
      <c r="AF874" s="16" t="n"/>
    </row>
    <row r="875" ht="13" customHeight="1" s="30">
      <c r="AF875" s="16" t="n"/>
    </row>
    <row r="876" ht="13" customHeight="1" s="30">
      <c r="AF876" s="16" t="n"/>
    </row>
    <row r="877" ht="13" customHeight="1" s="30">
      <c r="AF877" s="16" t="n"/>
    </row>
    <row r="878" ht="13" customHeight="1" s="30">
      <c r="AF878" s="16" t="n"/>
    </row>
    <row r="879" ht="13" customHeight="1" s="30">
      <c r="AF879" s="16" t="n"/>
    </row>
    <row r="880" ht="13" customHeight="1" s="30">
      <c r="AF880" s="16" t="n"/>
    </row>
    <row r="881" ht="13" customHeight="1" s="30">
      <c r="AF881" s="16" t="n"/>
    </row>
    <row r="882" ht="13" customHeight="1" s="30">
      <c r="AF882" s="16" t="n"/>
    </row>
    <row r="883" ht="13" customHeight="1" s="30">
      <c r="AF883" s="16" t="n"/>
    </row>
    <row r="884" ht="13" customHeight="1" s="30">
      <c r="AF884" s="16" t="n"/>
    </row>
    <row r="885" ht="13" customHeight="1" s="30">
      <c r="AF885" s="16" t="n"/>
    </row>
    <row r="886" ht="13" customHeight="1" s="30">
      <c r="AF886" s="16" t="n"/>
    </row>
    <row r="887" ht="13" customHeight="1" s="30">
      <c r="AF887" s="16" t="n"/>
    </row>
    <row r="888" ht="13" customHeight="1" s="30">
      <c r="AF888" s="16" t="n"/>
    </row>
    <row r="889" ht="13" customHeight="1" s="30">
      <c r="AF889" s="16" t="n"/>
    </row>
    <row r="890" ht="13" customHeight="1" s="30">
      <c r="AF890" s="16" t="n"/>
    </row>
    <row r="891" ht="13" customHeight="1" s="30">
      <c r="AF891" s="16" t="n"/>
    </row>
    <row r="892" ht="13" customHeight="1" s="30">
      <c r="AF892" s="16" t="n"/>
    </row>
    <row r="893" ht="13" customHeight="1" s="30">
      <c r="AF893" s="16" t="n"/>
    </row>
    <row r="894" ht="13" customHeight="1" s="30">
      <c r="AF894" s="16" t="n"/>
    </row>
    <row r="895" ht="13" customHeight="1" s="30">
      <c r="AF895" s="16" t="n"/>
    </row>
    <row r="896" ht="13" customHeight="1" s="30">
      <c r="AF896" s="16" t="n"/>
    </row>
    <row r="897" ht="13" customHeight="1" s="30">
      <c r="AF897" s="16" t="n"/>
    </row>
    <row r="898" ht="13" customHeight="1" s="30">
      <c r="AF898" s="16" t="n"/>
    </row>
    <row r="899" ht="13" customHeight="1" s="30">
      <c r="AF899" s="16" t="n"/>
    </row>
    <row r="900" ht="13" customHeight="1" s="30">
      <c r="AF900" s="16" t="n"/>
    </row>
    <row r="901" ht="13" customHeight="1" s="30">
      <c r="AF901" s="16" t="n"/>
    </row>
    <row r="902" ht="13" customHeight="1" s="30">
      <c r="AF902" s="16" t="n"/>
    </row>
    <row r="903" ht="13" customHeight="1" s="30">
      <c r="AF903" s="16" t="n"/>
    </row>
    <row r="904" ht="13" customHeight="1" s="30">
      <c r="AF904" s="16" t="n"/>
    </row>
    <row r="905" ht="13" customHeight="1" s="30">
      <c r="AF905" s="16" t="n"/>
    </row>
    <row r="906" ht="13" customHeight="1" s="30">
      <c r="AF906" s="16" t="n"/>
    </row>
    <row r="907" ht="13" customHeight="1" s="30">
      <c r="AF907" s="16" t="n"/>
    </row>
    <row r="908" ht="13" customHeight="1" s="30">
      <c r="AF908" s="16" t="n"/>
    </row>
    <row r="909" ht="13" customHeight="1" s="30">
      <c r="AF909" s="16" t="n"/>
    </row>
    <row r="910" ht="13" customHeight="1" s="30">
      <c r="AF910" s="16" t="n"/>
    </row>
    <row r="911" ht="13" customHeight="1" s="30">
      <c r="AF911" s="16" t="n"/>
    </row>
    <row r="912" ht="13" customHeight="1" s="30">
      <c r="AF912" s="16" t="n"/>
    </row>
    <row r="913" ht="13" customHeight="1" s="30">
      <c r="AF913" s="16" t="n"/>
    </row>
    <row r="914" ht="13" customHeight="1" s="30">
      <c r="AF914" s="16" t="n"/>
    </row>
    <row r="915" ht="13" customHeight="1" s="30">
      <c r="AF915" s="16" t="n"/>
    </row>
    <row r="916" ht="13" customHeight="1" s="30">
      <c r="AF916" s="16" t="n"/>
    </row>
    <row r="917" ht="13" customHeight="1" s="30">
      <c r="AF917" s="16" t="n"/>
    </row>
    <row r="918" ht="13" customHeight="1" s="30">
      <c r="AF918" s="16" t="n"/>
    </row>
    <row r="919" ht="13" customHeight="1" s="30">
      <c r="AF919" s="16" t="n"/>
    </row>
    <row r="920" ht="13" customHeight="1" s="30">
      <c r="AF920" s="16" t="n"/>
    </row>
    <row r="921" ht="13" customHeight="1" s="30">
      <c r="AF921" s="16" t="n"/>
    </row>
    <row r="922" ht="13" customHeight="1" s="30">
      <c r="AF922" s="16" t="n"/>
    </row>
    <row r="923" ht="13" customHeight="1" s="30">
      <c r="AF923" s="16" t="n"/>
    </row>
    <row r="924" ht="13" customHeight="1" s="30">
      <c r="AF924" s="16" t="n"/>
    </row>
    <row r="925" ht="13" customHeight="1" s="30">
      <c r="AF925" s="16" t="n"/>
    </row>
    <row r="926" ht="13" customHeight="1" s="30">
      <c r="AF926" s="16" t="n"/>
    </row>
    <row r="927" ht="13" customHeight="1" s="30">
      <c r="AF927" s="16" t="n"/>
    </row>
    <row r="928" ht="13" customHeight="1" s="30">
      <c r="AF928" s="16" t="n"/>
    </row>
    <row r="929" ht="13" customHeight="1" s="30">
      <c r="AF929" s="16" t="n"/>
    </row>
    <row r="930" ht="13" customHeight="1" s="30">
      <c r="AF930" s="16" t="n"/>
    </row>
    <row r="931" ht="13" customHeight="1" s="30">
      <c r="AF931" s="16" t="n"/>
    </row>
    <row r="932" ht="13" customHeight="1" s="30">
      <c r="AF932" s="16" t="n"/>
    </row>
    <row r="933" ht="13" customHeight="1" s="30">
      <c r="AF933" s="16" t="n"/>
    </row>
    <row r="934" ht="13" customHeight="1" s="30">
      <c r="AF934" s="16" t="n"/>
    </row>
    <row r="935" ht="13" customHeight="1" s="30">
      <c r="AF935" s="16" t="n"/>
    </row>
    <row r="936" ht="13" customHeight="1" s="30">
      <c r="AF936" s="16" t="n"/>
    </row>
    <row r="937" ht="13" customHeight="1" s="30">
      <c r="AF937" s="16" t="n"/>
    </row>
    <row r="938" ht="13" customHeight="1" s="30">
      <c r="AF938" s="16" t="n"/>
    </row>
    <row r="939" ht="13" customHeight="1" s="30">
      <c r="AF939" s="16" t="n"/>
    </row>
    <row r="940" ht="13" customHeight="1" s="30">
      <c r="AF940" s="16" t="n"/>
    </row>
    <row r="941" ht="13" customHeight="1" s="30">
      <c r="AF941" s="16" t="n"/>
    </row>
    <row r="942" ht="13" customHeight="1" s="30">
      <c r="AF942" s="16" t="n"/>
    </row>
    <row r="943" ht="13" customHeight="1" s="30">
      <c r="AF943" s="16" t="n"/>
    </row>
    <row r="944" ht="13" customHeight="1" s="30">
      <c r="AF944" s="16" t="n"/>
    </row>
    <row r="945" ht="13" customHeight="1" s="30">
      <c r="AF945" s="16" t="n"/>
    </row>
    <row r="946" ht="13" customHeight="1" s="30">
      <c r="AF946" s="16" t="n"/>
    </row>
    <row r="947" ht="13" customHeight="1" s="30">
      <c r="AF947" s="16" t="n"/>
    </row>
    <row r="948" ht="13" customHeight="1" s="30">
      <c r="AF948" s="16" t="n"/>
    </row>
    <row r="949" ht="13" customHeight="1" s="30">
      <c r="AF949" s="16" t="n"/>
    </row>
    <row r="950" ht="13" customHeight="1" s="30">
      <c r="AF950" s="16" t="n"/>
    </row>
    <row r="951" ht="13" customHeight="1" s="30">
      <c r="AF951" s="16" t="n"/>
    </row>
    <row r="952" ht="13" customHeight="1" s="30">
      <c r="AF952" s="16" t="n"/>
    </row>
    <row r="953" ht="13" customHeight="1" s="30">
      <c r="AF953" s="16" t="n"/>
    </row>
    <row r="954" ht="13" customHeight="1" s="30">
      <c r="AF954" s="16" t="n"/>
    </row>
    <row r="955" ht="13" customHeight="1" s="30">
      <c r="AF955" s="16" t="n"/>
    </row>
    <row r="956" ht="13" customHeight="1" s="30">
      <c r="AF956" s="16" t="n"/>
    </row>
    <row r="957" ht="13" customHeight="1" s="30">
      <c r="AF957" s="16" t="n"/>
    </row>
    <row r="958" ht="13" customHeight="1" s="30">
      <c r="AF958" s="16" t="n"/>
    </row>
    <row r="959" ht="13" customHeight="1" s="30">
      <c r="AF959" s="16" t="n"/>
    </row>
    <row r="960" ht="13" customHeight="1" s="30">
      <c r="AF960" s="16" t="n"/>
    </row>
    <row r="961" ht="13" customHeight="1" s="30">
      <c r="AF961" s="16" t="n"/>
    </row>
    <row r="962" ht="13" customHeight="1" s="30">
      <c r="AF962" s="16" t="n"/>
    </row>
    <row r="963" ht="13" customHeight="1" s="30">
      <c r="AF963" s="16" t="n"/>
    </row>
    <row r="964" ht="13" customHeight="1" s="30">
      <c r="AF964" s="16" t="n"/>
    </row>
    <row r="965" ht="13" customHeight="1" s="30">
      <c r="AF965" s="16" t="n"/>
    </row>
    <row r="966" ht="13" customHeight="1" s="30">
      <c r="AF966" s="16" t="n"/>
    </row>
    <row r="967" ht="13" customHeight="1" s="30">
      <c r="AF967" s="16" t="n"/>
    </row>
    <row r="968" ht="13" customHeight="1" s="30">
      <c r="AF968" s="16" t="n"/>
    </row>
    <row r="969" ht="13" customHeight="1" s="30">
      <c r="AF969" s="16" t="n"/>
    </row>
    <row r="970" ht="13" customHeight="1" s="30">
      <c r="AF970" s="16" t="n"/>
    </row>
    <row r="971" ht="13" customHeight="1" s="30">
      <c r="AF971" s="16" t="n"/>
    </row>
    <row r="972" ht="13" customHeight="1" s="30">
      <c r="AF972" s="16" t="n"/>
    </row>
    <row r="973" ht="13" customHeight="1" s="30">
      <c r="AF973" s="16" t="n"/>
    </row>
    <row r="974" ht="13" customHeight="1" s="30">
      <c r="AF974" s="16" t="n"/>
    </row>
    <row r="975" ht="13" customHeight="1" s="30">
      <c r="AF975" s="16" t="n"/>
    </row>
    <row r="976" ht="13" customHeight="1" s="30">
      <c r="AF976" s="16" t="n"/>
    </row>
    <row r="977" ht="13" customHeight="1" s="30">
      <c r="AF977" s="16" t="n"/>
    </row>
    <row r="978" ht="13" customHeight="1" s="30">
      <c r="AF978" s="16" t="n"/>
    </row>
    <row r="979" ht="13" customHeight="1" s="30">
      <c r="AF979" s="16" t="n"/>
    </row>
    <row r="980" ht="13" customHeight="1" s="30">
      <c r="AF980" s="16" t="n"/>
    </row>
    <row r="981" ht="13" customHeight="1" s="30">
      <c r="AF981" s="16" t="n"/>
    </row>
  </sheetData>
  <mergeCells count="1">
    <mergeCell ref="AD1:AE1"/>
  </mergeCells>
  <conditionalFormatting sqref="B3:B14">
    <cfRule type="colorScale" priority="6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C3:C14">
    <cfRule type="colorScale" priority="7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D3:D14">
    <cfRule type="colorScale" priority="8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E3:AE12">
    <cfRule type="expression" priority="4" dxfId="5">
      <formula>E3=E$15/3</formula>
    </cfRule>
    <cfRule type="expression" priority="5" dxfId="0">
      <formula>E3=2*E$15/3</formula>
    </cfRule>
    <cfRule type="expression" priority="1" dxfId="4">
      <formula>E3=E$15</formula>
    </cfRule>
    <cfRule type="expression" priority="3" dxfId="8">
      <formula>E3=E$15/2</formula>
    </cfRule>
    <cfRule type="expression" priority="2" dxfId="1">
      <formula>E3=""</formula>
    </cfRule>
    <cfRule type="expression" priority="9" dxfId="3">
      <formula>E3=0</formula>
    </cfRule>
  </conditionalFormatting>
  <conditionalFormatting sqref="E16:AE16">
    <cfRule type="colorScale" priority="10">
      <colorScale>
        <cfvo type="formula" val="0"/>
        <cfvo type="percent" val="50"/>
        <cfvo type="max"/>
        <color rgb="FFFFA49C"/>
        <color rgb="FFFFE79C"/>
        <color rgb="FFB0E9C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67"/>
  <sheetViews>
    <sheetView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2.6640625" defaultRowHeight="15.75" customHeight="1"/>
  <cols>
    <col width="17.83203125" customWidth="1" style="30" min="1" max="1"/>
    <col width="3.6640625" customWidth="1" style="30" min="2" max="2"/>
    <col width="4.83203125" customWidth="1" style="30" min="3" max="5"/>
    <col width="2.6640625" customWidth="1" style="30" min="6" max="32"/>
  </cols>
  <sheetData>
    <row r="1" ht="13" customHeight="1" s="30">
      <c r="A1" s="2">
        <f>CELL("SHEET",A1)</f>
        <v/>
      </c>
      <c r="B1" s="31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</row>
    <row r="2" ht="13" customHeight="1" s="30">
      <c r="A2" s="2" t="inlineStr">
        <is>
          <t>Средний балл:</t>
        </is>
      </c>
      <c r="B2" s="31">
        <f t="array" ref="B2">INDEX(#REF!,MATCH($A$1,#REF!,0))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13" customHeight="1" s="30">
      <c r="A3" s="2" t="n"/>
      <c r="B3" s="31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 ht="13" customHeight="1" s="30">
      <c r="A4" s="32" t="inlineStr">
        <is>
          <t>max:</t>
        </is>
      </c>
      <c r="B4" s="38" t="n"/>
      <c r="C4" s="20">
        <f>D4+E4</f>
        <v/>
      </c>
      <c r="D4" s="20">
        <f>SUM(F4:Y4)</f>
        <v/>
      </c>
      <c r="E4" s="21">
        <f>SUM(Z4:AF4)</f>
        <v/>
      </c>
      <c r="F4" s="22" t="n">
        <v>1</v>
      </c>
      <c r="G4" s="22" t="n">
        <v>1</v>
      </c>
      <c r="H4" s="22" t="n">
        <v>1</v>
      </c>
      <c r="I4" s="22" t="n">
        <v>1</v>
      </c>
      <c r="J4" s="22" t="n">
        <v>2</v>
      </c>
      <c r="K4" s="22" t="n">
        <v>2</v>
      </c>
      <c r="L4" s="22" t="n">
        <v>1</v>
      </c>
      <c r="M4" s="22" t="n">
        <v>1</v>
      </c>
      <c r="N4" s="22" t="n">
        <v>2</v>
      </c>
      <c r="O4" s="22" t="n">
        <v>2</v>
      </c>
      <c r="P4" s="22" t="n">
        <v>1</v>
      </c>
      <c r="Q4" s="22" t="n">
        <v>1</v>
      </c>
      <c r="R4" s="22" t="n">
        <v>1</v>
      </c>
      <c r="S4" s="22" t="n">
        <v>2</v>
      </c>
      <c r="T4" s="22" t="n">
        <v>2</v>
      </c>
      <c r="U4" s="22" t="n">
        <v>1</v>
      </c>
      <c r="V4" s="22" t="n">
        <v>2</v>
      </c>
      <c r="W4" s="22" t="n">
        <v>2</v>
      </c>
      <c r="X4" s="22" t="n">
        <v>1</v>
      </c>
      <c r="Y4" s="22" t="n">
        <v>1</v>
      </c>
      <c r="Z4" s="20" t="n">
        <v>3</v>
      </c>
      <c r="AA4" s="22" t="n">
        <v>2</v>
      </c>
      <c r="AB4" s="22" t="n">
        <v>2</v>
      </c>
      <c r="AC4" s="22" t="n">
        <v>3</v>
      </c>
      <c r="AD4" s="22" t="n">
        <v>3</v>
      </c>
      <c r="AE4" s="22" t="n">
        <v>3</v>
      </c>
      <c r="AF4" s="21" t="n">
        <v>1</v>
      </c>
    </row>
    <row r="5" ht="13" customHeight="1" s="30">
      <c r="B5" s="31" t="n"/>
      <c r="C5" s="23" t="inlineStr">
        <is>
          <t>Σ</t>
        </is>
      </c>
      <c r="D5" s="23" t="inlineStr">
        <is>
          <t>1 ч.</t>
        </is>
      </c>
      <c r="E5" s="24" t="inlineStr">
        <is>
          <t>2 ч.</t>
        </is>
      </c>
      <c r="F5" s="34" t="n">
        <v>1</v>
      </c>
      <c r="G5" s="34" t="n">
        <v>2</v>
      </c>
      <c r="H5" s="34" t="n">
        <v>3</v>
      </c>
      <c r="I5" s="34" t="n">
        <v>4</v>
      </c>
      <c r="J5" s="34" t="n">
        <v>5</v>
      </c>
      <c r="K5" s="34" t="n">
        <v>6</v>
      </c>
      <c r="L5" s="34" t="n">
        <v>7</v>
      </c>
      <c r="M5" s="34" t="n">
        <v>8</v>
      </c>
      <c r="N5" s="34" t="n">
        <v>9</v>
      </c>
      <c r="O5" s="34" t="n">
        <v>10</v>
      </c>
      <c r="P5" s="34" t="n">
        <v>11</v>
      </c>
      <c r="Q5" s="34" t="n">
        <v>12</v>
      </c>
      <c r="R5" s="34" t="n">
        <v>13</v>
      </c>
      <c r="S5" s="34" t="n">
        <v>14</v>
      </c>
      <c r="T5" s="34" t="n">
        <v>15</v>
      </c>
      <c r="U5" s="34" t="n">
        <v>16</v>
      </c>
      <c r="V5" s="34" t="n">
        <v>17</v>
      </c>
      <c r="W5" s="34" t="n">
        <v>18</v>
      </c>
      <c r="X5" s="34" t="n">
        <v>19</v>
      </c>
      <c r="Y5" s="34" t="n">
        <v>20</v>
      </c>
      <c r="Z5" s="23" t="n">
        <v>21</v>
      </c>
      <c r="AA5" s="34" t="n">
        <v>22</v>
      </c>
      <c r="AB5" s="34" t="n">
        <v>23</v>
      </c>
      <c r="AC5" s="34" t="n">
        <v>24</v>
      </c>
      <c r="AD5" s="34" t="n">
        <v>25</v>
      </c>
      <c r="AE5" s="24" t="n">
        <v>26</v>
      </c>
      <c r="AF5" s="39" t="n"/>
    </row>
    <row r="6" hidden="1" ht="13" customHeight="1" s="30">
      <c r="B6" s="31" t="n"/>
      <c r="C6" s="26">
        <f>C4</f>
        <v/>
      </c>
      <c r="D6" s="26">
        <f>D4</f>
        <v/>
      </c>
      <c r="E6" s="27">
        <f>E4</f>
        <v/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6" t="n"/>
      <c r="AA6" s="19" t="n"/>
      <c r="AB6" s="19" t="n"/>
      <c r="AC6" s="19" t="n"/>
      <c r="AD6" s="19" t="n"/>
      <c r="AE6" s="19" t="n"/>
      <c r="AF6" s="27" t="n"/>
    </row>
    <row r="7" hidden="1" ht="13" customHeight="1" s="30">
      <c r="B7" s="31" t="n"/>
      <c r="C7" s="26" t="n">
        <v>0</v>
      </c>
      <c r="D7" s="26" t="n">
        <v>0</v>
      </c>
      <c r="E7" s="27">
        <f>'~'!D16</f>
        <v/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26" t="n"/>
      <c r="AA7" s="19" t="n"/>
      <c r="AB7" s="19" t="n"/>
      <c r="AC7" s="19" t="n"/>
      <c r="AD7" s="19" t="n"/>
      <c r="AE7" s="19" t="n"/>
      <c r="AF7" s="27" t="n"/>
    </row>
    <row r="8" ht="13" customHeight="1" s="30">
      <c r="A8" s="2">
        <f t="array" ref="A8:A47">IF(TRANSPOSE(#REF!)="~","",TRANSPOSE(#REF!))</f>
        <v/>
      </c>
      <c r="B8" s="31">
        <f>IFERROR(INDEX(INDIRECT($A8&amp;"!AF$1:AF$60"),MATCH($A$1,INDIRECT($A8&amp;"!$A$1:$A$60"),0)),"-")</f>
        <v/>
      </c>
      <c r="C8" s="26">
        <f>IFERROR(INDEX(INDIRECT($A8&amp;"!B$1:AE$60"),MATCH($A$1,INDIRECT($A8&amp;"!$A$1:$A$60"),0)),"-")</f>
        <v/>
      </c>
      <c r="D8" s="26" t="n"/>
      <c r="E8" s="27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5" t="n"/>
      <c r="AA8" s="31" t="n"/>
      <c r="AB8" s="31" t="n"/>
      <c r="AC8" s="31" t="n"/>
      <c r="AD8" s="31" t="n"/>
      <c r="AE8" s="31" t="n"/>
      <c r="AF8" s="28" t="n"/>
    </row>
    <row r="9" ht="13" customHeight="1" s="30">
      <c r="A9" s="2" t="e">
        <v>#REF!</v>
      </c>
      <c r="B9" s="31">
        <f>IFERROR(INDEX(INDIRECT($A9&amp;"!AF$1:AF$60"),MATCH($A$1,INDIRECT($A9&amp;"!$A$1:$A$60"),0)),"-")</f>
        <v/>
      </c>
      <c r="C9" s="26">
        <f>IFERROR(INDEX(INDIRECT($A9&amp;"!B$1:AE$60"),MATCH($A$1,INDIRECT($A9&amp;"!$A$1:$A$60"),0)),"-")</f>
        <v/>
      </c>
      <c r="D9" s="26" t="n"/>
      <c r="E9" s="27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26" t="n"/>
      <c r="AA9" s="19" t="n"/>
      <c r="AB9" s="19" t="n"/>
      <c r="AC9" s="19" t="n"/>
      <c r="AD9" s="19" t="n"/>
      <c r="AE9" s="19" t="n"/>
      <c r="AF9" s="27" t="n"/>
    </row>
    <row r="10" ht="13" customHeight="1" s="30">
      <c r="A10" s="2" t="e">
        <v>#REF!</v>
      </c>
      <c r="B10" s="31">
        <f>IFERROR(INDEX(INDIRECT($A10&amp;"!AF$1:AF$60"),MATCH($A$1,INDIRECT($A10&amp;"!$A$1:$A$60"),0)),"-")</f>
        <v/>
      </c>
      <c r="C10" s="26">
        <f>IFERROR(INDEX(INDIRECT($A10&amp;"!B$1:AE$60"),MATCH($A$1,INDIRECT($A10&amp;"!$A$1:$A$60"),0)),"-")</f>
        <v/>
      </c>
      <c r="D10" s="26" t="n"/>
      <c r="E10" s="27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26" t="n"/>
      <c r="AA10" s="19" t="n"/>
      <c r="AB10" s="19" t="n"/>
      <c r="AC10" s="19" t="n"/>
      <c r="AD10" s="19" t="n"/>
      <c r="AE10" s="19" t="n"/>
      <c r="AF10" s="27" t="n"/>
    </row>
    <row r="11" ht="13" customHeight="1" s="30">
      <c r="A11" s="2" t="e">
        <v>#REF!</v>
      </c>
      <c r="B11" s="31">
        <f>IFERROR(INDEX(INDIRECT($A11&amp;"!AF$1:AF$60"),MATCH($A$1,INDIRECT($A11&amp;"!$A$1:$A$60"),0)),"-")</f>
        <v/>
      </c>
      <c r="C11" s="26">
        <f>IFERROR(INDEX(INDIRECT($A11&amp;"!B$1:AE$60"),MATCH($A$1,INDIRECT($A11&amp;"!$A$1:$A$60"),0)),"-")</f>
        <v/>
      </c>
      <c r="D11" s="26" t="n"/>
      <c r="E11" s="27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26" t="n"/>
      <c r="AA11" s="19" t="n"/>
      <c r="AB11" s="19" t="n"/>
      <c r="AC11" s="19" t="n"/>
      <c r="AD11" s="19" t="n"/>
      <c r="AE11" s="19" t="n"/>
      <c r="AF11" s="27" t="n"/>
    </row>
    <row r="12" ht="13" customHeight="1" s="30">
      <c r="A12" s="2" t="e">
        <v>#REF!</v>
      </c>
      <c r="B12" s="31">
        <f>IFERROR(INDEX(INDIRECT($A12&amp;"!AF$1:AF$60"),MATCH($A$1,INDIRECT($A12&amp;"!$A$1:$A$60"),0)),"-")</f>
        <v/>
      </c>
      <c r="C12" s="26">
        <f>IFERROR(INDEX(INDIRECT($A12&amp;"!B$1:AE$60"),MATCH($A$1,INDIRECT($A12&amp;"!$A$1:$A$60"),0)),"-")</f>
        <v/>
      </c>
      <c r="D12" s="26" t="n"/>
      <c r="E12" s="27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26" t="n"/>
      <c r="AA12" s="19" t="n"/>
      <c r="AB12" s="19" t="n"/>
      <c r="AC12" s="19" t="n"/>
      <c r="AD12" s="19" t="n"/>
      <c r="AE12" s="19" t="n"/>
      <c r="AF12" s="27" t="n"/>
    </row>
    <row r="13" ht="13" customHeight="1" s="30">
      <c r="A13" s="2" t="e">
        <v>#REF!</v>
      </c>
      <c r="B13" s="31">
        <f>IFERROR(INDEX(INDIRECT($A13&amp;"!AF$1:AF$60"),MATCH($A$1,INDIRECT($A13&amp;"!$A$1:$A$60"),0)),"-")</f>
        <v/>
      </c>
      <c r="C13" s="26">
        <f>IFERROR(INDEX(INDIRECT($A13&amp;"!B$1:AE$60"),MATCH($A$1,INDIRECT($A13&amp;"!$A$1:$A$60"),0)),"-")</f>
        <v/>
      </c>
      <c r="D13" s="26" t="n"/>
      <c r="E13" s="27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6" t="n"/>
      <c r="AA13" s="19" t="n"/>
      <c r="AB13" s="19" t="n"/>
      <c r="AC13" s="19" t="n"/>
      <c r="AD13" s="19" t="n"/>
      <c r="AE13" s="19" t="n"/>
      <c r="AF13" s="27" t="n"/>
    </row>
    <row r="14" ht="13" customHeight="1" s="30">
      <c r="A14" s="2" t="e">
        <v>#REF!</v>
      </c>
      <c r="B14" s="31">
        <f>IFERROR(INDEX(INDIRECT($A14&amp;"!AF$1:AF$60"),MATCH($A$1,INDIRECT($A14&amp;"!$A$1:$A$60"),0)),"-")</f>
        <v/>
      </c>
      <c r="C14" s="26">
        <f>IFERROR(INDEX(INDIRECT($A14&amp;"!B$1:AE$60"),MATCH($A$1,INDIRECT($A14&amp;"!$A$1:$A$60"),0)),"-")</f>
        <v/>
      </c>
      <c r="D14" s="26" t="n"/>
      <c r="E14" s="27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6" t="n"/>
      <c r="AA14" s="19" t="n"/>
      <c r="AB14" s="19" t="n"/>
      <c r="AC14" s="19" t="n"/>
      <c r="AD14" s="19" t="n"/>
      <c r="AE14" s="19" t="n"/>
      <c r="AF14" s="27" t="n"/>
    </row>
    <row r="15" ht="13" customHeight="1" s="30">
      <c r="A15" s="2" t="e">
        <v>#REF!</v>
      </c>
      <c r="B15" s="31">
        <f>IFERROR(INDEX(INDIRECT($A15&amp;"!AF$1:AF$60"),MATCH($A$1,INDIRECT($A15&amp;"!$A$1:$A$60"),0)),"-")</f>
        <v/>
      </c>
      <c r="C15" s="26">
        <f>IFERROR(INDEX(INDIRECT($A15&amp;"!B$1:AE$60"),MATCH($A$1,INDIRECT($A15&amp;"!$A$1:$A$60"),0)),"-")</f>
        <v/>
      </c>
      <c r="D15" s="26" t="n"/>
      <c r="E15" s="27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6" t="n"/>
      <c r="AA15" s="19" t="n"/>
      <c r="AB15" s="19" t="n"/>
      <c r="AC15" s="19" t="n"/>
      <c r="AD15" s="19" t="n"/>
      <c r="AE15" s="19" t="n"/>
      <c r="AF15" s="27" t="n"/>
    </row>
    <row r="16" ht="13" customHeight="1" s="30">
      <c r="A16" s="2" t="e">
        <v>#REF!</v>
      </c>
      <c r="B16" s="31">
        <f>IFERROR(INDEX(INDIRECT($A16&amp;"!AF$1:AF$60"),MATCH($A$1,INDIRECT($A16&amp;"!$A$1:$A$60"),0)),"-")</f>
        <v/>
      </c>
      <c r="C16" s="26">
        <f>IFERROR(INDEX(INDIRECT($A16&amp;"!B$1:AE$60"),MATCH($A$1,INDIRECT($A16&amp;"!$A$1:$A$60"),0)),"-")</f>
        <v/>
      </c>
      <c r="D16" s="26" t="n"/>
      <c r="E16" s="27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26" t="n"/>
      <c r="AA16" s="19" t="n"/>
      <c r="AB16" s="19" t="n"/>
      <c r="AC16" s="19" t="n"/>
      <c r="AD16" s="19" t="n"/>
      <c r="AE16" s="19" t="n"/>
      <c r="AF16" s="27" t="n"/>
    </row>
    <row r="17" ht="13" customHeight="1" s="30">
      <c r="A17" s="2" t="e">
        <v>#REF!</v>
      </c>
      <c r="B17" s="31">
        <f>IFERROR(INDEX(INDIRECT($A17&amp;"!AF$1:AF$60"),MATCH($A$1,INDIRECT($A17&amp;"!$A$1:$A$60"),0)),"-")</f>
        <v/>
      </c>
      <c r="C17" s="26">
        <f>IFERROR(INDEX(INDIRECT($A17&amp;"!B$1:AE$60"),MATCH($A$1,INDIRECT($A17&amp;"!$A$1:$A$60"),0)),"-")</f>
        <v/>
      </c>
      <c r="D17" s="26" t="n"/>
      <c r="E17" s="27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26" t="n"/>
      <c r="AA17" s="19" t="n"/>
      <c r="AB17" s="19" t="n"/>
      <c r="AC17" s="19" t="n"/>
      <c r="AD17" s="19" t="n"/>
      <c r="AE17" s="19" t="n"/>
      <c r="AF17" s="27" t="n"/>
    </row>
    <row r="18" ht="13" customHeight="1" s="30">
      <c r="A18" s="2" t="e">
        <v>#REF!</v>
      </c>
      <c r="B18" s="31">
        <f>IFERROR(INDEX(INDIRECT($A18&amp;"!AF$1:AF$60"),MATCH($A$1,INDIRECT($A18&amp;"!$A$1:$A$60"),0)),"-")</f>
        <v/>
      </c>
      <c r="C18" s="26">
        <f>IFERROR(INDEX(INDIRECT($A18&amp;"!B$1:AE$60"),MATCH($A$1,INDIRECT($A18&amp;"!$A$1:$A$60"),0)),"-")</f>
        <v/>
      </c>
      <c r="D18" s="26" t="n"/>
      <c r="E18" s="27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26" t="n"/>
      <c r="AA18" s="19" t="n"/>
      <c r="AB18" s="19" t="n"/>
      <c r="AC18" s="19" t="n"/>
      <c r="AD18" s="19" t="n"/>
      <c r="AE18" s="19" t="n"/>
      <c r="AF18" s="27" t="n"/>
    </row>
    <row r="19" ht="13" customHeight="1" s="30">
      <c r="A19" s="2" t="e">
        <v>#REF!</v>
      </c>
      <c r="B19" s="31">
        <f>IFERROR(INDEX(INDIRECT($A19&amp;"!AF$1:AF$60"),MATCH($A$1,INDIRECT($A19&amp;"!$A$1:$A$60"),0)),"-")</f>
        <v/>
      </c>
      <c r="C19" s="26">
        <f>IFERROR(INDEX(INDIRECT($A19&amp;"!B$1:AE$60"),MATCH($A$1,INDIRECT($A19&amp;"!$A$1:$A$60"),0)),"-")</f>
        <v/>
      </c>
      <c r="D19" s="26" t="n"/>
      <c r="E19" s="27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26" t="n"/>
      <c r="AA19" s="19" t="n"/>
      <c r="AB19" s="19" t="n"/>
      <c r="AC19" s="19" t="n"/>
      <c r="AD19" s="19" t="n"/>
      <c r="AE19" s="19" t="n"/>
      <c r="AF19" s="27" t="n"/>
    </row>
    <row r="20" ht="13" customHeight="1" s="30">
      <c r="A20" s="2" t="e">
        <v>#REF!</v>
      </c>
      <c r="B20" s="31">
        <f>IFERROR(INDEX(INDIRECT($A20&amp;"!AF$1:AF$60"),MATCH($A$1,INDIRECT($A20&amp;"!$A$1:$A$60"),0)),"-")</f>
        <v/>
      </c>
      <c r="C20" s="26">
        <f>IFERROR(INDEX(INDIRECT($A20&amp;"!B$1:AE$60"),MATCH($A$1,INDIRECT($A20&amp;"!$A$1:$A$60"),0)),"-")</f>
        <v/>
      </c>
      <c r="D20" s="26" t="n"/>
      <c r="E20" s="27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26" t="n"/>
      <c r="AA20" s="19" t="n"/>
      <c r="AB20" s="19" t="n"/>
      <c r="AC20" s="19" t="n"/>
      <c r="AD20" s="19" t="n"/>
      <c r="AE20" s="19" t="n"/>
      <c r="AF20" s="27" t="n"/>
    </row>
    <row r="21" ht="13" customHeight="1" s="30">
      <c r="A21" s="2" t="e">
        <v>#REF!</v>
      </c>
      <c r="B21" s="31">
        <f>IFERROR(INDEX(INDIRECT($A21&amp;"!AF$1:AF$60"),MATCH($A$1,INDIRECT($A21&amp;"!$A$1:$A$60"),0)),"-")</f>
        <v/>
      </c>
      <c r="C21" s="26">
        <f>IFERROR(INDEX(INDIRECT($A21&amp;"!B$1:AE$60"),MATCH($A$1,INDIRECT($A21&amp;"!$A$1:$A$60"),0)),"-")</f>
        <v/>
      </c>
      <c r="D21" s="26" t="n"/>
      <c r="E21" s="27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26" t="n"/>
      <c r="AA21" s="19" t="n"/>
      <c r="AB21" s="19" t="n"/>
      <c r="AC21" s="19" t="n"/>
      <c r="AD21" s="19" t="n"/>
      <c r="AE21" s="19" t="n"/>
      <c r="AF21" s="27" t="n"/>
    </row>
    <row r="22" ht="13" customHeight="1" s="30">
      <c r="A22" s="2" t="e">
        <v>#REF!</v>
      </c>
      <c r="B22" s="31">
        <f>IFERROR(INDEX(INDIRECT($A22&amp;"!AF$1:AF$60"),MATCH($A$1,INDIRECT($A22&amp;"!$A$1:$A$60"),0)),"-")</f>
        <v/>
      </c>
      <c r="C22" s="26">
        <f>IFERROR(INDEX(INDIRECT($A22&amp;"!B$1:AE$60"),MATCH($A$1,INDIRECT($A22&amp;"!$A$1:$A$60"),0)),"-")</f>
        <v/>
      </c>
      <c r="D22" s="26" t="n"/>
      <c r="E22" s="27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26" t="n"/>
      <c r="AA22" s="19" t="n"/>
      <c r="AB22" s="19" t="n"/>
      <c r="AC22" s="19" t="n"/>
      <c r="AD22" s="19" t="n"/>
      <c r="AE22" s="19" t="n"/>
      <c r="AF22" s="27" t="n"/>
    </row>
    <row r="23" ht="13" customHeight="1" s="30">
      <c r="A23" s="2" t="e">
        <v>#REF!</v>
      </c>
      <c r="B23" s="31">
        <f>IFERROR(INDEX(INDIRECT($A23&amp;"!AF$1:AF$60"),MATCH($A$1,INDIRECT($A23&amp;"!$A$1:$A$60"),0)),"-")</f>
        <v/>
      </c>
      <c r="C23" s="26">
        <f>IFERROR(INDEX(INDIRECT($A23&amp;"!B$1:AE$60"),MATCH($A$1,INDIRECT($A23&amp;"!$A$1:$A$60"),0)),"-")</f>
        <v/>
      </c>
      <c r="D23" s="26" t="n"/>
      <c r="E23" s="27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26" t="n"/>
      <c r="AA23" s="19" t="n"/>
      <c r="AB23" s="19" t="n"/>
      <c r="AC23" s="19" t="n"/>
      <c r="AD23" s="19" t="n"/>
      <c r="AE23" s="19" t="n"/>
      <c r="AF23" s="27" t="n"/>
    </row>
    <row r="24" ht="13" customHeight="1" s="30">
      <c r="A24" s="2" t="e">
        <v>#REF!</v>
      </c>
      <c r="B24" s="31">
        <f>IFERROR(INDEX(INDIRECT($A24&amp;"!AF$1:AF$60"),MATCH($A$1,INDIRECT($A24&amp;"!$A$1:$A$60"),0)),"-")</f>
        <v/>
      </c>
      <c r="C24" s="26">
        <f>IFERROR(INDEX(INDIRECT($A24&amp;"!B$1:AE$60"),MATCH($A$1,INDIRECT($A24&amp;"!$A$1:$A$60"),0)),"-")</f>
        <v/>
      </c>
      <c r="D24" s="26" t="n"/>
      <c r="E24" s="27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26" t="n"/>
      <c r="AA24" s="19" t="n"/>
      <c r="AB24" s="19" t="n"/>
      <c r="AC24" s="19" t="n"/>
      <c r="AD24" s="19" t="n"/>
      <c r="AE24" s="19" t="n"/>
      <c r="AF24" s="27" t="n"/>
    </row>
    <row r="25" ht="13" customHeight="1" s="30">
      <c r="A25" s="2" t="e">
        <v>#REF!</v>
      </c>
      <c r="B25" s="31">
        <f>IFERROR(INDEX(INDIRECT($A25&amp;"!AF$1:AF$60"),MATCH($A$1,INDIRECT($A25&amp;"!$A$1:$A$60"),0)),"-")</f>
        <v/>
      </c>
      <c r="C25" s="26">
        <f>IFERROR(INDEX(INDIRECT($A25&amp;"!B$1:AE$60"),MATCH($A$1,INDIRECT($A25&amp;"!$A$1:$A$60"),0)),"-")</f>
        <v/>
      </c>
      <c r="D25" s="26" t="n"/>
      <c r="E25" s="27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26" t="n"/>
      <c r="AA25" s="19" t="n"/>
      <c r="AB25" s="19" t="n"/>
      <c r="AC25" s="19" t="n"/>
      <c r="AD25" s="19" t="n"/>
      <c r="AE25" s="19" t="n"/>
      <c r="AF25" s="27" t="n"/>
    </row>
    <row r="26" ht="13" customHeight="1" s="30">
      <c r="A26" s="2" t="e">
        <v>#REF!</v>
      </c>
      <c r="B26" s="31">
        <f>IFERROR(INDEX(INDIRECT($A26&amp;"!AF$1:AF$60"),MATCH($A$1,INDIRECT($A26&amp;"!$A$1:$A$60"),0)),"-")</f>
        <v/>
      </c>
      <c r="C26" s="26">
        <f>IFERROR(INDEX(INDIRECT($A26&amp;"!B$1:AE$60"),MATCH($A$1,INDIRECT($A26&amp;"!$A$1:$A$60"),0)),"-")</f>
        <v/>
      </c>
      <c r="D26" s="26" t="n"/>
      <c r="E26" s="27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26" t="n"/>
      <c r="AA26" s="19" t="n"/>
      <c r="AB26" s="19" t="n"/>
      <c r="AC26" s="19" t="n"/>
      <c r="AD26" s="19" t="n"/>
      <c r="AE26" s="19" t="n"/>
      <c r="AF26" s="27" t="n"/>
    </row>
    <row r="27" ht="13" customHeight="1" s="30">
      <c r="A27" s="2" t="e">
        <v>#REF!</v>
      </c>
      <c r="B27" s="31">
        <f>IFERROR(INDEX(INDIRECT($A27&amp;"!AF$1:AF$60"),MATCH($A$1,INDIRECT($A27&amp;"!$A$1:$A$60"),0)),"-")</f>
        <v/>
      </c>
      <c r="C27" s="26">
        <f>IFERROR(INDEX(INDIRECT($A27&amp;"!B$1:AE$60"),MATCH($A$1,INDIRECT($A27&amp;"!$A$1:$A$60"),0)),"-")</f>
        <v/>
      </c>
      <c r="D27" s="26" t="n"/>
      <c r="E27" s="27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26" t="n"/>
      <c r="AA27" s="19" t="n"/>
      <c r="AB27" s="19" t="n"/>
      <c r="AC27" s="19" t="n"/>
      <c r="AD27" s="19" t="n"/>
      <c r="AE27" s="19" t="n"/>
      <c r="AF27" s="27" t="n"/>
    </row>
    <row r="28" ht="13" customHeight="1" s="30">
      <c r="A28" s="2" t="e">
        <v>#REF!</v>
      </c>
      <c r="B28" s="31">
        <f>IFERROR(INDEX(INDIRECT($A28&amp;"!AF$1:AF$60"),MATCH($A$1,INDIRECT($A28&amp;"!$A$1:$A$60"),0)),"-")</f>
        <v/>
      </c>
      <c r="C28" s="26">
        <f>IFERROR(INDEX(INDIRECT($A28&amp;"!B$1:AE$60"),MATCH($A$1,INDIRECT($A28&amp;"!$A$1:$A$60"),0)),"-")</f>
        <v/>
      </c>
      <c r="D28" s="26" t="n"/>
      <c r="E28" s="27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26" t="n"/>
      <c r="AA28" s="19" t="n"/>
      <c r="AB28" s="19" t="n"/>
      <c r="AC28" s="19" t="n"/>
      <c r="AD28" s="19" t="n"/>
      <c r="AE28" s="19" t="n"/>
      <c r="AF28" s="27" t="n"/>
    </row>
    <row r="29" ht="13" customHeight="1" s="30">
      <c r="A29" s="2" t="e">
        <v>#REF!</v>
      </c>
      <c r="B29" s="31">
        <f>IFERROR(INDEX(INDIRECT($A29&amp;"!AF$1:AF$60"),MATCH($A$1,INDIRECT($A29&amp;"!$A$1:$A$60"),0)),"-")</f>
        <v/>
      </c>
      <c r="C29" s="26">
        <f>IFERROR(INDEX(INDIRECT($A29&amp;"!B$1:AE$60"),MATCH($A$1,INDIRECT($A29&amp;"!$A$1:$A$60"),0)),"-")</f>
        <v/>
      </c>
      <c r="D29" s="26" t="n"/>
      <c r="E29" s="27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26" t="n"/>
      <c r="AA29" s="19" t="n"/>
      <c r="AB29" s="19" t="n"/>
      <c r="AC29" s="19" t="n"/>
      <c r="AD29" s="19" t="n"/>
      <c r="AE29" s="19" t="n"/>
      <c r="AF29" s="27" t="n"/>
    </row>
    <row r="30" ht="13" customHeight="1" s="30">
      <c r="A30" s="2" t="e">
        <v>#REF!</v>
      </c>
      <c r="B30" s="31">
        <f>IFERROR(INDEX(INDIRECT($A30&amp;"!AF$1:AF$60"),MATCH($A$1,INDIRECT($A30&amp;"!$A$1:$A$60"),0)),"-")</f>
        <v/>
      </c>
      <c r="C30" s="26">
        <f>IFERROR(INDEX(INDIRECT($A30&amp;"!B$1:AE$60"),MATCH($A$1,INDIRECT($A30&amp;"!$A$1:$A$60"),0)),"-")</f>
        <v/>
      </c>
      <c r="D30" s="26" t="n"/>
      <c r="E30" s="27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26" t="n"/>
      <c r="AA30" s="19" t="n"/>
      <c r="AB30" s="19" t="n"/>
      <c r="AC30" s="19" t="n"/>
      <c r="AD30" s="19" t="n"/>
      <c r="AE30" s="19" t="n"/>
      <c r="AF30" s="27" t="n"/>
    </row>
    <row r="31" ht="13" customHeight="1" s="30">
      <c r="A31" s="2" t="e">
        <v>#REF!</v>
      </c>
      <c r="B31" s="31">
        <f>IFERROR(INDEX(INDIRECT($A31&amp;"!AF$1:AF$60"),MATCH($A$1,INDIRECT($A31&amp;"!$A$1:$A$60"),0)),"-")</f>
        <v/>
      </c>
      <c r="C31" s="26">
        <f>IFERROR(INDEX(INDIRECT($A31&amp;"!B$1:AE$60"),MATCH($A$1,INDIRECT($A31&amp;"!$A$1:$A$60"),0)),"-")</f>
        <v/>
      </c>
      <c r="D31" s="26" t="n"/>
      <c r="E31" s="27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26" t="n"/>
      <c r="AA31" s="19" t="n"/>
      <c r="AB31" s="19" t="n"/>
      <c r="AC31" s="19" t="n"/>
      <c r="AD31" s="19" t="n"/>
      <c r="AE31" s="19" t="n"/>
      <c r="AF31" s="27" t="n"/>
    </row>
    <row r="32" ht="13" customHeight="1" s="30">
      <c r="A32" s="2" t="e">
        <v>#REF!</v>
      </c>
      <c r="B32" s="31">
        <f>IFERROR(INDEX(INDIRECT($A32&amp;"!AF$1:AF$60"),MATCH($A$1,INDIRECT($A32&amp;"!$A$1:$A$60"),0)),"-")</f>
        <v/>
      </c>
      <c r="C32" s="26">
        <f>IFERROR(INDEX(INDIRECT($A32&amp;"!B$1:AE$60"),MATCH($A$1,INDIRECT($A32&amp;"!$A$1:$A$60"),0)),"-")</f>
        <v/>
      </c>
      <c r="D32" s="26" t="n"/>
      <c r="E32" s="27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26" t="n"/>
      <c r="AA32" s="19" t="n"/>
      <c r="AB32" s="19" t="n"/>
      <c r="AC32" s="19" t="n"/>
      <c r="AD32" s="19" t="n"/>
      <c r="AE32" s="19" t="n"/>
      <c r="AF32" s="27" t="n"/>
    </row>
    <row r="33" ht="13" customHeight="1" s="30">
      <c r="A33" s="2" t="e">
        <v>#REF!</v>
      </c>
      <c r="B33" s="31">
        <f>IFERROR(INDEX(INDIRECT($A33&amp;"!AF$1:AF$60"),MATCH($A$1,INDIRECT($A33&amp;"!$A$1:$A$60"),0)),"-")</f>
        <v/>
      </c>
      <c r="C33" s="26">
        <f>IFERROR(INDEX(INDIRECT($A33&amp;"!B$1:AE$60"),MATCH($A$1,INDIRECT($A33&amp;"!$A$1:$A$60"),0)),"-")</f>
        <v/>
      </c>
      <c r="D33" s="26" t="n"/>
      <c r="E33" s="27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26" t="n"/>
      <c r="AA33" s="19" t="n"/>
      <c r="AB33" s="19" t="n"/>
      <c r="AC33" s="19" t="n"/>
      <c r="AD33" s="19" t="n"/>
      <c r="AE33" s="19" t="n"/>
      <c r="AF33" s="27" t="n"/>
    </row>
    <row r="34" ht="13" customHeight="1" s="30">
      <c r="A34" s="2" t="e">
        <v>#REF!</v>
      </c>
      <c r="B34" s="31">
        <f>IFERROR(INDEX(INDIRECT($A34&amp;"!AF$1:AF$60"),MATCH($A$1,INDIRECT($A34&amp;"!$A$1:$A$60"),0)),"-")</f>
        <v/>
      </c>
      <c r="C34" s="26">
        <f>IFERROR(INDEX(INDIRECT($A34&amp;"!B$1:AE$60"),MATCH($A$1,INDIRECT($A34&amp;"!$A$1:$A$60"),0)),"-")</f>
        <v/>
      </c>
      <c r="D34" s="26" t="n"/>
      <c r="E34" s="27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26" t="n"/>
      <c r="AA34" s="19" t="n"/>
      <c r="AB34" s="19" t="n"/>
      <c r="AC34" s="19" t="n"/>
      <c r="AD34" s="19" t="n"/>
      <c r="AE34" s="19" t="n"/>
      <c r="AF34" s="27" t="n"/>
    </row>
    <row r="35" ht="13" customHeight="1" s="30">
      <c r="A35" s="2" t="e">
        <v>#REF!</v>
      </c>
      <c r="B35" s="31">
        <f>IFERROR(INDEX(INDIRECT($A35&amp;"!AF$1:AF$60"),MATCH($A$1,INDIRECT($A35&amp;"!$A$1:$A$60"),0)),"-")</f>
        <v/>
      </c>
      <c r="C35" s="26">
        <f>IFERROR(INDEX(INDIRECT($A35&amp;"!B$1:AE$60"),MATCH($A$1,INDIRECT($A35&amp;"!$A$1:$A$60"),0)),"-")</f>
        <v/>
      </c>
      <c r="D35" s="26" t="n"/>
      <c r="E35" s="27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26" t="n"/>
      <c r="AA35" s="19" t="n"/>
      <c r="AB35" s="19" t="n"/>
      <c r="AC35" s="19" t="n"/>
      <c r="AD35" s="19" t="n"/>
      <c r="AE35" s="19" t="n"/>
      <c r="AF35" s="27" t="n"/>
    </row>
    <row r="36" ht="13" customHeight="1" s="30">
      <c r="A36" s="2" t="e">
        <v>#REF!</v>
      </c>
      <c r="B36" s="31">
        <f>IFERROR(INDEX(INDIRECT($A36&amp;"!AF$1:AF$60"),MATCH($A$1,INDIRECT($A36&amp;"!$A$1:$A$60"),0)),"-")</f>
        <v/>
      </c>
      <c r="C36" s="26">
        <f>IFERROR(INDEX(INDIRECT($A36&amp;"!B$1:AE$60"),MATCH($A$1,INDIRECT($A36&amp;"!$A$1:$A$60"),0)),"-")</f>
        <v/>
      </c>
      <c r="D36" s="26" t="n"/>
      <c r="E36" s="27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26" t="n"/>
      <c r="AA36" s="19" t="n"/>
      <c r="AB36" s="19" t="n"/>
      <c r="AC36" s="19" t="n"/>
      <c r="AD36" s="19" t="n"/>
      <c r="AE36" s="19" t="n"/>
      <c r="AF36" s="27" t="n"/>
    </row>
    <row r="37" ht="13" customHeight="1" s="30">
      <c r="A37" s="2" t="e">
        <v>#REF!</v>
      </c>
      <c r="B37" s="31">
        <f>IFERROR(INDEX(INDIRECT($A37&amp;"!AF$1:AF$60"),MATCH($A$1,INDIRECT($A37&amp;"!$A$1:$A$60"),0)),"-")</f>
        <v/>
      </c>
      <c r="C37" s="26">
        <f>IFERROR(INDEX(INDIRECT($A37&amp;"!B$1:AE$60"),MATCH($A$1,INDIRECT($A37&amp;"!$A$1:$A$60"),0)),"-")</f>
        <v/>
      </c>
      <c r="D37" s="26" t="n"/>
      <c r="E37" s="27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26" t="n"/>
      <c r="AA37" s="19" t="n"/>
      <c r="AB37" s="19" t="n"/>
      <c r="AC37" s="19" t="n"/>
      <c r="AD37" s="19" t="n"/>
      <c r="AE37" s="19" t="n"/>
      <c r="AF37" s="27" t="n"/>
    </row>
    <row r="38" ht="13" customHeight="1" s="30">
      <c r="A38" s="2" t="e">
        <v>#REF!</v>
      </c>
      <c r="B38" s="31">
        <f>IFERROR(INDEX(INDIRECT($A38&amp;"!AF$1:AF$60"),MATCH($A$1,INDIRECT($A38&amp;"!$A$1:$A$60"),0)),"-")</f>
        <v/>
      </c>
      <c r="C38" s="26">
        <f>IFERROR(INDEX(INDIRECT($A38&amp;"!B$1:AE$60"),MATCH($A$1,INDIRECT($A38&amp;"!$A$1:$A$60"),0)),"-")</f>
        <v/>
      </c>
      <c r="D38" s="26" t="n"/>
      <c r="E38" s="27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26" t="n"/>
      <c r="AA38" s="19" t="n"/>
      <c r="AB38" s="19" t="n"/>
      <c r="AC38" s="19" t="n"/>
      <c r="AD38" s="19" t="n"/>
      <c r="AE38" s="19" t="n"/>
      <c r="AF38" s="27" t="n"/>
    </row>
    <row r="39" ht="13" customHeight="1" s="30">
      <c r="A39" s="2" t="e">
        <v>#REF!</v>
      </c>
      <c r="B39" s="31">
        <f>IFERROR(INDEX(INDIRECT($A39&amp;"!AF$1:AF$60"),MATCH($A$1,INDIRECT($A39&amp;"!$A$1:$A$60"),0)),"-")</f>
        <v/>
      </c>
      <c r="C39" s="26">
        <f>IFERROR(INDEX(INDIRECT($A39&amp;"!B$1:AE$60"),MATCH($A$1,INDIRECT($A39&amp;"!$A$1:$A$60"),0)),"-")</f>
        <v/>
      </c>
      <c r="D39" s="26" t="n"/>
      <c r="E39" s="27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26" t="n"/>
      <c r="AA39" s="19" t="n"/>
      <c r="AB39" s="19" t="n"/>
      <c r="AC39" s="19" t="n"/>
      <c r="AD39" s="19" t="n"/>
      <c r="AE39" s="19" t="n"/>
      <c r="AF39" s="27" t="n"/>
    </row>
    <row r="40" ht="13" customHeight="1" s="30">
      <c r="A40" s="2" t="e">
        <v>#REF!</v>
      </c>
      <c r="B40" s="31">
        <f>IFERROR(INDEX(INDIRECT($A40&amp;"!AF$1:AF$60"),MATCH($A$1,INDIRECT($A40&amp;"!$A$1:$A$60"),0)),"-")</f>
        <v/>
      </c>
      <c r="C40" s="26">
        <f>IFERROR(INDEX(INDIRECT($A40&amp;"!B$1:AE$60"),MATCH($A$1,INDIRECT($A40&amp;"!$A$1:$A$60"),0)),"-")</f>
        <v/>
      </c>
      <c r="D40" s="26" t="n"/>
      <c r="E40" s="27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26" t="n"/>
      <c r="AA40" s="19" t="n"/>
      <c r="AB40" s="19" t="n"/>
      <c r="AC40" s="19" t="n"/>
      <c r="AD40" s="19" t="n"/>
      <c r="AE40" s="19" t="n"/>
      <c r="AF40" s="27" t="n"/>
    </row>
    <row r="41" ht="13" customHeight="1" s="30">
      <c r="A41" s="2" t="e">
        <v>#REF!</v>
      </c>
      <c r="B41" s="31">
        <f>IFERROR(INDEX(INDIRECT($A41&amp;"!AF$1:AF$60"),MATCH($A$1,INDIRECT($A41&amp;"!$A$1:$A$60"),0)),"-")</f>
        <v/>
      </c>
      <c r="C41" s="26">
        <f>IFERROR(INDEX(INDIRECT($A41&amp;"!B$1:AE$60"),MATCH($A$1,INDIRECT($A41&amp;"!$A$1:$A$60"),0)),"-")</f>
        <v/>
      </c>
      <c r="D41" s="26" t="n"/>
      <c r="E41" s="27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26" t="n"/>
      <c r="AA41" s="19" t="n"/>
      <c r="AB41" s="19" t="n"/>
      <c r="AC41" s="19" t="n"/>
      <c r="AD41" s="19" t="n"/>
      <c r="AE41" s="19" t="n"/>
      <c r="AF41" s="27" t="n"/>
    </row>
    <row r="42" ht="13" customHeight="1" s="30">
      <c r="A42" s="2" t="e">
        <v>#REF!</v>
      </c>
      <c r="B42" s="31">
        <f>IFERROR(INDEX(INDIRECT($A42&amp;"!AF$1:AF$60"),MATCH($A$1,INDIRECT($A42&amp;"!$A$1:$A$60"),0)),"-")</f>
        <v/>
      </c>
      <c r="C42" s="26">
        <f>IFERROR(INDEX(INDIRECT($A42&amp;"!B$1:AE$60"),MATCH($A$1,INDIRECT($A42&amp;"!$A$1:$A$60"),0)),"-")</f>
        <v/>
      </c>
      <c r="D42" s="26" t="n"/>
      <c r="E42" s="27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26" t="n"/>
      <c r="AA42" s="19" t="n"/>
      <c r="AB42" s="19" t="n"/>
      <c r="AC42" s="19" t="n"/>
      <c r="AD42" s="19" t="n"/>
      <c r="AE42" s="19" t="n"/>
      <c r="AF42" s="27" t="n"/>
    </row>
    <row r="43" ht="13" customHeight="1" s="30">
      <c r="A43" s="2" t="e">
        <v>#REF!</v>
      </c>
      <c r="B43" s="31">
        <f>IFERROR(INDEX(INDIRECT($A43&amp;"!AF$1:AF$60"),MATCH($A$1,INDIRECT($A43&amp;"!$A$1:$A$60"),0)),"-")</f>
        <v/>
      </c>
      <c r="C43" s="26">
        <f>IFERROR(INDEX(INDIRECT($A43&amp;"!B$1:AE$60"),MATCH($A$1,INDIRECT($A43&amp;"!$A$1:$A$60"),0)),"-")</f>
        <v/>
      </c>
      <c r="D43" s="26" t="n"/>
      <c r="E43" s="27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26" t="n"/>
      <c r="AA43" s="19" t="n"/>
      <c r="AB43" s="19" t="n"/>
      <c r="AC43" s="19" t="n"/>
      <c r="AD43" s="19" t="n"/>
      <c r="AE43" s="19" t="n"/>
      <c r="AF43" s="27" t="n"/>
    </row>
    <row r="44" ht="13" customHeight="1" s="30">
      <c r="A44" s="2" t="e">
        <v>#REF!</v>
      </c>
      <c r="B44" s="31">
        <f>IFERROR(INDEX(INDIRECT($A44&amp;"!AF$1:AF$60"),MATCH($A$1,INDIRECT($A44&amp;"!$A$1:$A$60"),0)),"-")</f>
        <v/>
      </c>
      <c r="C44" s="26">
        <f>IFERROR(INDEX(INDIRECT($A44&amp;"!B$1:AE$60"),MATCH($A$1,INDIRECT($A44&amp;"!$A$1:$A$60"),0)),"-")</f>
        <v/>
      </c>
      <c r="D44" s="26" t="n"/>
      <c r="E44" s="27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26" t="n"/>
      <c r="AA44" s="19" t="n"/>
      <c r="AB44" s="19" t="n"/>
      <c r="AC44" s="19" t="n"/>
      <c r="AD44" s="19" t="n"/>
      <c r="AE44" s="19" t="n"/>
      <c r="AF44" s="27" t="n"/>
    </row>
    <row r="45" ht="13" customHeight="1" s="30">
      <c r="A45" s="2" t="e">
        <v>#REF!</v>
      </c>
      <c r="B45" s="31">
        <f>IFERROR(INDEX(INDIRECT($A45&amp;"!AF$1:AF$60"),MATCH($A$1,INDIRECT($A45&amp;"!$A$1:$A$60"),0)),"-")</f>
        <v/>
      </c>
      <c r="C45" s="26">
        <f>IFERROR(INDEX(INDIRECT($A45&amp;"!B$1:AE$60"),MATCH($A$1,INDIRECT($A45&amp;"!$A$1:$A$60"),0)),"-")</f>
        <v/>
      </c>
      <c r="D45" s="26" t="n"/>
      <c r="E45" s="27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26" t="n"/>
      <c r="AA45" s="19" t="n"/>
      <c r="AB45" s="19" t="n"/>
      <c r="AC45" s="19" t="n"/>
      <c r="AD45" s="19" t="n"/>
      <c r="AE45" s="19" t="n"/>
      <c r="AF45" s="27" t="n"/>
    </row>
    <row r="46" ht="13" customHeight="1" s="30">
      <c r="A46" s="2" t="e">
        <v>#REF!</v>
      </c>
      <c r="B46" s="31">
        <f>IFERROR(INDEX(INDIRECT($A46&amp;"!AF$1:AF$60"),MATCH($A$1,INDIRECT($A46&amp;"!$A$1:$A$60"),0)),"-")</f>
        <v/>
      </c>
      <c r="C46" s="26">
        <f>IFERROR(INDEX(INDIRECT($A46&amp;"!B$1:AE$60"),MATCH($A$1,INDIRECT($A46&amp;"!$A$1:$A$60"),0)),"-")</f>
        <v/>
      </c>
      <c r="D46" s="26" t="n"/>
      <c r="E46" s="27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26" t="n"/>
      <c r="AA46" s="19" t="n"/>
      <c r="AB46" s="19" t="n"/>
      <c r="AC46" s="19" t="n"/>
      <c r="AD46" s="19" t="n"/>
      <c r="AE46" s="19" t="n"/>
      <c r="AF46" s="27" t="n"/>
    </row>
    <row r="47" ht="13" customHeight="1" s="30">
      <c r="A47" s="2" t="e">
        <v>#REF!</v>
      </c>
      <c r="B47" s="31">
        <f>IFERROR(INDEX(INDIRECT($A47&amp;"!AF$1:AF$60"),MATCH($A$1,INDIRECT($A47&amp;"!$A$1:$A$60"),0)),"-")</f>
        <v/>
      </c>
      <c r="C47" s="26">
        <f>IFERROR(INDEX(INDIRECT($A47&amp;"!B$1:AE$60"),MATCH($A$1,INDIRECT($A47&amp;"!$A$1:$A$60"),0)),"-")</f>
        <v/>
      </c>
      <c r="D47" s="26" t="n"/>
      <c r="E47" s="27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26" t="n"/>
      <c r="AA47" s="19" t="n"/>
      <c r="AB47" s="19" t="n"/>
      <c r="AC47" s="19" t="n"/>
      <c r="AD47" s="19" t="n"/>
      <c r="AE47" s="19" t="n"/>
      <c r="AF47" s="27" t="n"/>
    </row>
    <row r="48" ht="13" customHeight="1" s="30">
      <c r="B48" s="31">
        <f>IFERROR(INDEX(INDIRECT($A48&amp;"!AF$1:AF$60"),MATCH($A$1,INDIRECT($A48&amp;"!$A$1:$A$60"),0)),"-")</f>
        <v/>
      </c>
      <c r="C48" s="26">
        <f>IFERROR(INDEX(INDIRECT($A48&amp;"!B$1:AE$60"),MATCH($A$1,INDIRECT($A48&amp;"!$A$1:$A$60"),0)),"-")</f>
        <v/>
      </c>
      <c r="D48" s="26" t="n"/>
      <c r="E48" s="27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26" t="n"/>
      <c r="AA48" s="19" t="n"/>
      <c r="AB48" s="19" t="n"/>
      <c r="AC48" s="19" t="n"/>
      <c r="AD48" s="19" t="n"/>
      <c r="AE48" s="19" t="n"/>
      <c r="AF48" s="27" t="n"/>
    </row>
    <row r="49" ht="13" customHeight="1" s="30">
      <c r="B49" s="31">
        <f>IFERROR(INDEX(INDIRECT($A49&amp;"!AF$1:AF$60"),MATCH($A$1,INDIRECT($A49&amp;"!$A$1:$A$60"),0)),"-")</f>
        <v/>
      </c>
      <c r="C49" s="26">
        <f>IFERROR(INDEX(INDIRECT($A49&amp;"!B$1:AE$60"),MATCH($A$1,INDIRECT($A49&amp;"!$A$1:$A$60"),0)),"-")</f>
        <v/>
      </c>
      <c r="D49" s="26" t="n"/>
      <c r="E49" s="27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26" t="n"/>
      <c r="AA49" s="19" t="n"/>
      <c r="AB49" s="19" t="n"/>
      <c r="AC49" s="19" t="n"/>
      <c r="AD49" s="19" t="n"/>
      <c r="AE49" s="19" t="n"/>
      <c r="AF49" s="27" t="n"/>
    </row>
    <row r="50" ht="13" customHeight="1" s="30">
      <c r="B50" s="31">
        <f>IFERROR(INDEX(INDIRECT($A50&amp;"!AF$1:AF$60"),MATCH($A$1,INDIRECT($A50&amp;"!$A$1:$A$60"),0)),"-")</f>
        <v/>
      </c>
      <c r="C50" s="26">
        <f>IFERROR(INDEX(INDIRECT($A50&amp;"!B$1:AE$60"),MATCH($A$1,INDIRECT($A50&amp;"!$A$1:$A$60"),0)),"-")</f>
        <v/>
      </c>
      <c r="D50" s="26" t="n"/>
      <c r="E50" s="27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26" t="n"/>
      <c r="AA50" s="19" t="n"/>
      <c r="AB50" s="19" t="n"/>
      <c r="AC50" s="19" t="n"/>
      <c r="AD50" s="19" t="n"/>
      <c r="AE50" s="19" t="n"/>
      <c r="AF50" s="27" t="n"/>
    </row>
    <row r="51" ht="13" customHeight="1" s="30">
      <c r="B51" s="31">
        <f>IFERROR(INDEX(INDIRECT($A51&amp;"!AF$1:AF$60"),MATCH($A$1,INDIRECT($A51&amp;"!$A$1:$A$60"),0)),"-")</f>
        <v/>
      </c>
      <c r="C51" s="26">
        <f>IFERROR(INDEX(INDIRECT($A51&amp;"!B$1:AE$60"),MATCH($A$1,INDIRECT($A51&amp;"!$A$1:$A$60"),0)),"-")</f>
        <v/>
      </c>
      <c r="D51" s="26" t="n"/>
      <c r="E51" s="27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26" t="n"/>
      <c r="AA51" s="19" t="n"/>
      <c r="AB51" s="19" t="n"/>
      <c r="AC51" s="19" t="n"/>
      <c r="AD51" s="19" t="n"/>
      <c r="AE51" s="19" t="n"/>
      <c r="AF51" s="27" t="n"/>
    </row>
    <row r="52" ht="13" customHeight="1" s="30">
      <c r="B52" s="31">
        <f>IFERROR(INDEX(INDIRECT($A52&amp;"!AF$1:AF$60"),MATCH($A$1,INDIRECT($A52&amp;"!$A$1:$A$60"),0)),"-")</f>
        <v/>
      </c>
      <c r="C52" s="26">
        <f>IFERROR(INDEX(INDIRECT($A52&amp;"!B$1:AE$60"),MATCH($A$1,INDIRECT($A52&amp;"!$A$1:$A$60"),0)),"-")</f>
        <v/>
      </c>
      <c r="D52" s="26" t="n"/>
      <c r="E52" s="27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26" t="n"/>
      <c r="AA52" s="19" t="n"/>
      <c r="AB52" s="19" t="n"/>
      <c r="AC52" s="19" t="n"/>
      <c r="AD52" s="19" t="n"/>
      <c r="AE52" s="19" t="n"/>
      <c r="AF52" s="27" t="n"/>
    </row>
    <row r="53" ht="13" customHeight="1" s="30">
      <c r="B53" s="31">
        <f>IFERROR(INDEX(INDIRECT($A53&amp;"!AF$1:AF$60"),MATCH($A$1,INDIRECT($A53&amp;"!$A$1:$A$60"),0)),"-")</f>
        <v/>
      </c>
      <c r="C53" s="26">
        <f>IFERROR(INDEX(INDIRECT($A53&amp;"!B$1:AE$60"),MATCH($A$1,INDIRECT($A53&amp;"!$A$1:$A$60"),0)),"-")</f>
        <v/>
      </c>
      <c r="D53" s="26" t="n"/>
      <c r="E53" s="27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26" t="n"/>
      <c r="AA53" s="19" t="n"/>
      <c r="AB53" s="19" t="n"/>
      <c r="AC53" s="19" t="n"/>
      <c r="AD53" s="19" t="n"/>
      <c r="AE53" s="19" t="n"/>
      <c r="AF53" s="27" t="n"/>
    </row>
    <row r="54" ht="13" customHeight="1" s="30">
      <c r="B54" s="31">
        <f>IFERROR(INDEX(INDIRECT($A54&amp;"!AF$1:AF$60"),MATCH($A$1,INDIRECT($A54&amp;"!$A$1:$A$60"),0)),"-")</f>
        <v/>
      </c>
      <c r="C54" s="26">
        <f>IFERROR(INDEX(INDIRECT($A54&amp;"!B$1:AE$60"),MATCH($A$1,INDIRECT($A54&amp;"!$A$1:$A$60"),0)),"-")</f>
        <v/>
      </c>
      <c r="D54" s="26" t="n"/>
      <c r="E54" s="27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26" t="n"/>
      <c r="AA54" s="19" t="n"/>
      <c r="AB54" s="19" t="n"/>
      <c r="AC54" s="19" t="n"/>
      <c r="AD54" s="19" t="n"/>
      <c r="AE54" s="19" t="n"/>
      <c r="AF54" s="27" t="n"/>
    </row>
    <row r="55" ht="13" customHeight="1" s="30">
      <c r="B55" s="31">
        <f>IFERROR(INDEX(INDIRECT($A55&amp;"!AF$1:AF$60"),MATCH($A$1,INDIRECT($A55&amp;"!$A$1:$A$60"),0)),"-")</f>
        <v/>
      </c>
      <c r="C55" s="26">
        <f>IFERROR(INDEX(INDIRECT($A55&amp;"!B$1:AE$60"),MATCH($A$1,INDIRECT($A55&amp;"!$A$1:$A$60"),0)),"-")</f>
        <v/>
      </c>
      <c r="D55" s="26" t="n"/>
      <c r="E55" s="27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26" t="n"/>
      <c r="AA55" s="19" t="n"/>
      <c r="AB55" s="19" t="n"/>
      <c r="AC55" s="19" t="n"/>
      <c r="AD55" s="19" t="n"/>
      <c r="AE55" s="19" t="n"/>
      <c r="AF55" s="27" t="n"/>
    </row>
    <row r="56" ht="13" customHeight="1" s="30">
      <c r="B56" s="31">
        <f>IFERROR(INDEX(INDIRECT($A56&amp;"!AF$1:AF$60"),MATCH($A$1,INDIRECT($A56&amp;"!$A$1:$A$60"),0)),"-")</f>
        <v/>
      </c>
      <c r="C56" s="26">
        <f>IFERROR(INDEX(INDIRECT($A56&amp;"!B$1:AE$60"),MATCH($A$1,INDIRECT($A56&amp;"!$A$1:$A$60"),0)),"-")</f>
        <v/>
      </c>
      <c r="D56" s="26" t="n"/>
      <c r="E56" s="27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26" t="n"/>
      <c r="AA56" s="19" t="n"/>
      <c r="AB56" s="19" t="n"/>
      <c r="AC56" s="19" t="n"/>
      <c r="AD56" s="19" t="n"/>
      <c r="AE56" s="19" t="n"/>
      <c r="AF56" s="27" t="n"/>
    </row>
    <row r="57" ht="13" customHeight="1" s="30">
      <c r="B57" s="31">
        <f>IFERROR(INDEX(INDIRECT($A57&amp;"!AF$1:AF$60"),MATCH($A$1,INDIRECT($A57&amp;"!$A$1:$A$60"),0)),"-")</f>
        <v/>
      </c>
      <c r="C57" s="26">
        <f>IFERROR(INDEX(INDIRECT($A57&amp;"!B$1:AE$60"),MATCH($A$1,INDIRECT($A57&amp;"!$A$1:$A$60"),0)),"-")</f>
        <v/>
      </c>
      <c r="D57" s="26" t="n"/>
      <c r="E57" s="27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26" t="n"/>
      <c r="AA57" s="19" t="n"/>
      <c r="AB57" s="19" t="n"/>
      <c r="AC57" s="19" t="n"/>
      <c r="AD57" s="19" t="n"/>
      <c r="AE57" s="19" t="n"/>
      <c r="AF57" s="27" t="n"/>
    </row>
    <row r="58" ht="13" customHeight="1" s="30">
      <c r="B58" s="31">
        <f>IFERROR(INDEX(INDIRECT($A58&amp;"!AF$1:AF$60"),MATCH($A$1,INDIRECT($A58&amp;"!$A$1:$A$60"),0)),"-")</f>
        <v/>
      </c>
      <c r="C58" s="26">
        <f>IFERROR(INDEX(INDIRECT($A58&amp;"!B$1:AE$60"),MATCH($A$1,INDIRECT($A58&amp;"!$A$1:$A$60"),0)),"-")</f>
        <v/>
      </c>
      <c r="D58" s="26" t="n"/>
      <c r="E58" s="27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26" t="n"/>
      <c r="AA58" s="19" t="n"/>
      <c r="AB58" s="19" t="n"/>
      <c r="AC58" s="19" t="n"/>
      <c r="AD58" s="19" t="n"/>
      <c r="AE58" s="19" t="n"/>
      <c r="AF58" s="27" t="n"/>
    </row>
    <row r="59" ht="13" customHeight="1" s="30">
      <c r="B59" s="31">
        <f>IFERROR(INDEX(INDIRECT($A59&amp;"!AF$1:AF$60"),MATCH($A$1,INDIRECT($A59&amp;"!$A$1:$A$60"),0)),"-")</f>
        <v/>
      </c>
      <c r="C59" s="26">
        <f>IFERROR(INDEX(INDIRECT($A59&amp;"!B$1:AE$60"),MATCH($A$1,INDIRECT($A59&amp;"!$A$1:$A$60"),0)),"-")</f>
        <v/>
      </c>
      <c r="D59" s="26" t="n"/>
      <c r="E59" s="27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26" t="n"/>
      <c r="AA59" s="19" t="n"/>
      <c r="AB59" s="19" t="n"/>
      <c r="AC59" s="19" t="n"/>
      <c r="AD59" s="19" t="n"/>
      <c r="AE59" s="19" t="n"/>
      <c r="AF59" s="27" t="n"/>
    </row>
    <row r="60" ht="13" customHeight="1" s="30">
      <c r="B60" s="31">
        <f>IFERROR(INDEX(INDIRECT($A60&amp;"!AF$1:AF$60"),MATCH($A$1,INDIRECT($A60&amp;"!$A$1:$A$60"),0)),"-")</f>
        <v/>
      </c>
      <c r="C60" s="26">
        <f>IFERROR(INDEX(INDIRECT($A60&amp;"!B$1:AE$60"),MATCH($A$1,INDIRECT($A60&amp;"!$A$1:$A$60"),0)),"-")</f>
        <v/>
      </c>
      <c r="D60" s="26" t="n"/>
      <c r="E60" s="27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26" t="n"/>
      <c r="AA60" s="19" t="n"/>
      <c r="AB60" s="19" t="n"/>
      <c r="AC60" s="19" t="n"/>
      <c r="AD60" s="19" t="n"/>
      <c r="AE60" s="19" t="n"/>
      <c r="AF60" s="27" t="n"/>
    </row>
    <row r="61" ht="13" customHeight="1" s="30">
      <c r="B61" s="31">
        <f>IFERROR(INDEX(INDIRECT($A61&amp;"!AF$1:AF$60"),MATCH($A$1,INDIRECT($A61&amp;"!$A$1:$A$60"),0)),"-")</f>
        <v/>
      </c>
      <c r="C61" s="26">
        <f>IFERROR(INDEX(INDIRECT($A61&amp;"!B$1:AE$60"),MATCH($A$1,INDIRECT($A61&amp;"!$A$1:$A$60"),0)),"-")</f>
        <v/>
      </c>
      <c r="D61" s="26" t="n"/>
      <c r="E61" s="27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26" t="n"/>
      <c r="AA61" s="19" t="n"/>
      <c r="AB61" s="19" t="n"/>
      <c r="AC61" s="19" t="n"/>
      <c r="AD61" s="19" t="n"/>
      <c r="AE61" s="19" t="n"/>
      <c r="AF61" s="27" t="n"/>
    </row>
    <row r="62" ht="13" customHeight="1" s="30">
      <c r="B62" s="31">
        <f>IFERROR(INDEX(INDIRECT($A62&amp;"!AF$1:AF$60"),MATCH($A$1,INDIRECT($A62&amp;"!$A$1:$A$60"),0)),"-")</f>
        <v/>
      </c>
      <c r="C62" s="26">
        <f>IFERROR(INDEX(INDIRECT($A62&amp;"!B$1:AE$60"),MATCH($A$1,INDIRECT($A62&amp;"!$A$1:$A$60"),0)),"-")</f>
        <v/>
      </c>
      <c r="D62" s="26" t="n"/>
      <c r="E62" s="27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26" t="n"/>
      <c r="AA62" s="19" t="n"/>
      <c r="AB62" s="19" t="n"/>
      <c r="AC62" s="19" t="n"/>
      <c r="AD62" s="19" t="n"/>
      <c r="AE62" s="19" t="n"/>
      <c r="AF62" s="27" t="n"/>
    </row>
    <row r="63" ht="13" customHeight="1" s="30">
      <c r="B63" s="31">
        <f>IFERROR(INDEX(INDIRECT($A63&amp;"!AF$1:AF$60"),MATCH($A$1,INDIRECT($A63&amp;"!$A$1:$A$60"),0)),"-")</f>
        <v/>
      </c>
      <c r="C63" s="26">
        <f>IFERROR(INDEX(INDIRECT($A63&amp;"!B$1:AE$60"),MATCH($A$1,INDIRECT($A63&amp;"!$A$1:$A$60"),0)),"-")</f>
        <v/>
      </c>
      <c r="D63" s="26" t="n"/>
      <c r="E63" s="27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26" t="n"/>
      <c r="AA63" s="19" t="n"/>
      <c r="AB63" s="19" t="n"/>
      <c r="AC63" s="19" t="n"/>
      <c r="AD63" s="19" t="n"/>
      <c r="AE63" s="19" t="n"/>
      <c r="AF63" s="27" t="n"/>
    </row>
    <row r="64" ht="13" customHeight="1" s="30">
      <c r="B64" s="31">
        <f>IFERROR(INDEX(INDIRECT($A64&amp;"!AF$1:AF$60"),MATCH($A$1,INDIRECT($A64&amp;"!$A$1:$A$60"),0)),"-")</f>
        <v/>
      </c>
      <c r="C64" s="26">
        <f>IFERROR(INDEX(INDIRECT($A64&amp;"!B$1:AE$60"),MATCH($A$1,INDIRECT($A64&amp;"!$A$1:$A$60"),0)),"-")</f>
        <v/>
      </c>
      <c r="D64" s="26" t="n"/>
      <c r="E64" s="27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27" t="n"/>
      <c r="Z64" s="26" t="n"/>
      <c r="AA64" s="19" t="n"/>
      <c r="AB64" s="19" t="n"/>
      <c r="AC64" s="19" t="n"/>
      <c r="AD64" s="19" t="n"/>
      <c r="AE64" s="19" t="n"/>
      <c r="AF64" s="27" t="n"/>
    </row>
    <row r="65" ht="13" customHeight="1" s="30">
      <c r="A65" s="29" t="n"/>
      <c r="B65" s="31">
        <f>IFERROR(INDEX(INDIRECT($A65&amp;"!AF$1:AF$60"),MATCH($A$1,INDIRECT($A65&amp;"!$A$1:$A$60"),0)),"-")</f>
        <v/>
      </c>
      <c r="C65" s="26">
        <f>IFERROR(INDEX(INDIRECT($A65&amp;"!B$1:AE$60"),MATCH($A$1,INDIRECT($A65&amp;"!$A$1:$A$60"),0)),"-")</f>
        <v/>
      </c>
      <c r="D65" s="26" t="n"/>
      <c r="E65" s="27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27" t="n"/>
      <c r="Z65" s="19" t="n"/>
      <c r="AA65" s="19" t="n"/>
      <c r="AB65" s="19" t="n"/>
      <c r="AC65" s="19" t="n"/>
      <c r="AD65" s="19" t="n"/>
      <c r="AE65" s="19" t="n"/>
      <c r="AF65" s="27" t="n"/>
    </row>
    <row r="66" ht="13" customHeight="1" s="30">
      <c r="A66" s="29" t="n"/>
      <c r="B66" s="31">
        <f>IFERROR(INDEX(INDIRECT($A66&amp;"!AF$1:AF$60"),MATCH($A$1,INDIRECT($A66&amp;"!$A$1:$A$60"),0)),"-")</f>
        <v/>
      </c>
      <c r="C66" s="26">
        <f>IFERROR(INDEX(INDIRECT($A66&amp;"!B$1:AE$60"),MATCH($A$1,INDIRECT($A66&amp;"!$A$1:$A$60"),0)),"-")</f>
        <v/>
      </c>
      <c r="D66" s="26" t="n"/>
      <c r="E66" s="27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27" t="n"/>
      <c r="Z66" s="19" t="n"/>
      <c r="AA66" s="19" t="n"/>
      <c r="AB66" s="19" t="n"/>
      <c r="AC66" s="19" t="n"/>
      <c r="AD66" s="19" t="n"/>
      <c r="AE66" s="19" t="n"/>
      <c r="AF66" s="27" t="n"/>
    </row>
    <row r="67" ht="13" customHeight="1" s="30">
      <c r="A67" s="29" t="n"/>
      <c r="B67" s="31">
        <f>IFERROR(INDEX(INDIRECT($A67&amp;"!AF$1:AF$60"),MATCH($A$1,INDIRECT($A67&amp;"!$A$1:$A$60"),0)),"-")</f>
        <v/>
      </c>
      <c r="C67" s="26">
        <f>IFERROR(INDEX(INDIRECT($A67&amp;"!B$1:AE$60"),MATCH($A$1,INDIRECT($A67&amp;"!$A$1:$A$60"),0)),"-")</f>
        <v/>
      </c>
      <c r="D67" s="26" t="n"/>
      <c r="E67" s="27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27" t="n"/>
      <c r="Z67" s="19" t="n"/>
      <c r="AA67" s="19" t="n"/>
      <c r="AB67" s="19" t="n"/>
      <c r="AC67" s="19" t="n"/>
      <c r="AD67" s="19" t="n"/>
      <c r="AE67" s="19" t="n"/>
      <c r="AF67" s="27" t="n"/>
    </row>
  </sheetData>
  <mergeCells count="2">
    <mergeCell ref="A4:B4"/>
    <mergeCell ref="AE5:AF5"/>
  </mergeCells>
  <conditionalFormatting sqref="C6:C67">
    <cfRule type="colorScale" priority="7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D6:D67">
    <cfRule type="colorScale" priority="8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E6:E67">
    <cfRule type="colorScale" priority="9">
      <colorScale>
        <cfvo type="percent" val="30"/>
        <cfvo type="percent" val="70"/>
        <cfvo type="max"/>
        <color rgb="FFF84D2F"/>
        <color rgb="FFFBE104"/>
        <color rgb="FF34A853"/>
      </colorScale>
    </cfRule>
  </conditionalFormatting>
  <conditionalFormatting sqref="F8:AF67">
    <cfRule type="expression" priority="4" dxfId="5">
      <formula>F8=F$4/3</formula>
    </cfRule>
    <cfRule type="expression" priority="1" dxfId="4">
      <formula>F8=F$4</formula>
    </cfRule>
    <cfRule type="expression" priority="6" dxfId="3">
      <formula>F8=0</formula>
    </cfRule>
    <cfRule type="expression" priority="3" dxfId="2">
      <formula>F8=F$4/2</formula>
    </cfRule>
    <cfRule type="expression" priority="2" dxfId="1">
      <formula>F8=""</formula>
    </cfRule>
    <cfRule type="expression" priority="5" dxfId="0">
      <formula>F8=2*F$4/3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2026-04-20T19:13:01Z</dcterms:created>
  <dcterms:modified xmlns:dcterms="http://purl.org/dc/terms/" xmlns:xsi="http://www.w3.org/2001/XMLSchema-instance" xsi:type="dcterms:W3CDTF">2026-04-23T17:36:52Z</dcterms:modified>
  <cp:lastModifiedBy>Microsoft Office User</cp:lastModifiedBy>
</cp:coreProperties>
</file>